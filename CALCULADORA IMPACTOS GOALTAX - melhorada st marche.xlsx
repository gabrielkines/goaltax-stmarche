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jbbhHaYBPGwqbalor-eXo-27-qP5k-G_\00_Workspace_GoalTax\02_Gestao_e_Operacoes\ADMINISTRATIVO GOALTAX\"/>
    </mc:Choice>
  </mc:AlternateContent>
  <xr:revisionPtr revIDLastSave="0" documentId="13_ncr:1_{F6A8C2DB-1053-48D4-9BF0-BE7234AA8B90}" xr6:coauthVersionLast="47" xr6:coauthVersionMax="47" xr10:uidLastSave="{00000000-0000-0000-0000-000000000000}"/>
  <bookViews>
    <workbookView xWindow="20370" yWindow="-120" windowWidth="29040" windowHeight="15720" tabRatio="909" xr2:uid="{809B104D-9B46-4661-85CA-BCF48C26E015}"/>
  </bookViews>
  <sheets>
    <sheet name="DRE" sheetId="11" r:id="rId1"/>
    <sheet name="CORES" sheetId="2" r:id="rId2"/>
    <sheet name="ANEXOS SN DRE" sheetId="10" r:id="rId3"/>
  </sheets>
  <definedNames>
    <definedName name="_xlnm.Print_Area" localSheetId="0">DRE!$A$1:$J$19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" i="10" l="1"/>
  <c r="S34" i="10"/>
  <c r="F39" i="10"/>
  <c r="F38" i="10"/>
  <c r="F37" i="10"/>
  <c r="F36" i="10"/>
  <c r="F35" i="10"/>
  <c r="F34" i="10"/>
  <c r="F31" i="10"/>
  <c r="F30" i="10"/>
  <c r="F29" i="10"/>
  <c r="F28" i="10"/>
  <c r="F27" i="10"/>
  <c r="F26" i="10"/>
  <c r="F23" i="10"/>
  <c r="F22" i="10"/>
  <c r="F21" i="10"/>
  <c r="F20" i="10"/>
  <c r="F19" i="10"/>
  <c r="F18" i="10"/>
  <c r="F15" i="10"/>
  <c r="F14" i="10"/>
  <c r="F13" i="10"/>
  <c r="F12" i="10"/>
  <c r="F11" i="10"/>
  <c r="F10" i="10"/>
  <c r="C5" i="11"/>
  <c r="F5" i="10" s="1"/>
  <c r="E39" i="11"/>
  <c r="E38" i="11"/>
  <c r="C35" i="11"/>
  <c r="D35" i="11" s="1"/>
  <c r="C34" i="11"/>
  <c r="D34" i="11" s="1"/>
  <c r="E34" i="11" s="1"/>
  <c r="F34" i="11" s="1"/>
  <c r="G34" i="11" s="1"/>
  <c r="C32" i="11"/>
  <c r="D32" i="11" s="1"/>
  <c r="C30" i="11"/>
  <c r="E29" i="11"/>
  <c r="E30" i="11" s="1"/>
  <c r="D29" i="11"/>
  <c r="D30" i="11" s="1"/>
  <c r="C29" i="11"/>
  <c r="G23" i="11"/>
  <c r="D23" i="11"/>
  <c r="C23" i="11"/>
  <c r="C15" i="11"/>
  <c r="E23" i="11" l="1"/>
  <c r="C36" i="11"/>
  <c r="C26" i="11"/>
  <c r="C25" i="11"/>
  <c r="F2" i="10"/>
  <c r="F6" i="10"/>
  <c r="F3" i="10"/>
  <c r="F7" i="10"/>
  <c r="F4" i="10"/>
  <c r="E32" i="11"/>
  <c r="D33" i="11"/>
  <c r="D36" i="11"/>
  <c r="E35" i="11"/>
  <c r="E36" i="11" s="1"/>
  <c r="F29" i="11"/>
  <c r="E40" i="11"/>
  <c r="G39" i="10"/>
  <c r="G38" i="10"/>
  <c r="V38" i="10" s="1"/>
  <c r="G37" i="10"/>
  <c r="G36" i="10"/>
  <c r="G35" i="10"/>
  <c r="V35" i="10" s="1"/>
  <c r="G34" i="10"/>
  <c r="T34" i="10" s="1"/>
  <c r="G31" i="10"/>
  <c r="V31" i="10" s="1"/>
  <c r="G30" i="10"/>
  <c r="T30" i="10" s="1"/>
  <c r="G29" i="10"/>
  <c r="T29" i="10" s="1"/>
  <c r="G28" i="10"/>
  <c r="G27" i="10"/>
  <c r="T27" i="10" s="1"/>
  <c r="G26" i="10"/>
  <c r="G23" i="10"/>
  <c r="T23" i="10" s="1"/>
  <c r="G22" i="10"/>
  <c r="V22" i="10" s="1"/>
  <c r="G21" i="10"/>
  <c r="V21" i="10" s="1"/>
  <c r="G20" i="10"/>
  <c r="G19" i="10"/>
  <c r="V19" i="10" s="1"/>
  <c r="G18" i="10"/>
  <c r="U39" i="10"/>
  <c r="S39" i="10"/>
  <c r="Q39" i="10"/>
  <c r="W39" i="10" s="1"/>
  <c r="U38" i="10"/>
  <c r="S38" i="10"/>
  <c r="Q38" i="10"/>
  <c r="C38" i="10"/>
  <c r="B39" i="10" s="1"/>
  <c r="B38" i="10"/>
  <c r="U37" i="10"/>
  <c r="S37" i="10"/>
  <c r="Q37" i="10"/>
  <c r="W37" i="10" s="1"/>
  <c r="W36" i="10"/>
  <c r="U36" i="10"/>
  <c r="S36" i="10"/>
  <c r="Q36" i="10"/>
  <c r="C36" i="10"/>
  <c r="B37" i="10" s="1"/>
  <c r="U35" i="10"/>
  <c r="S35" i="10"/>
  <c r="Q35" i="10"/>
  <c r="W35" i="10" s="1"/>
  <c r="C35" i="10"/>
  <c r="B36" i="10" s="1"/>
  <c r="B35" i="10"/>
  <c r="U34" i="10"/>
  <c r="Q34" i="10"/>
  <c r="U31" i="10"/>
  <c r="S31" i="10"/>
  <c r="Q31" i="10"/>
  <c r="W31" i="10" s="1"/>
  <c r="B31" i="10"/>
  <c r="U30" i="10"/>
  <c r="S30" i="10"/>
  <c r="Q30" i="10"/>
  <c r="W30" i="10" s="1"/>
  <c r="C30" i="10"/>
  <c r="B30" i="10"/>
  <c r="W29" i="10"/>
  <c r="U29" i="10"/>
  <c r="S29" i="10"/>
  <c r="Q29" i="10"/>
  <c r="B29" i="10"/>
  <c r="U28" i="10"/>
  <c r="S28" i="10"/>
  <c r="Q28" i="10"/>
  <c r="W28" i="10" s="1"/>
  <c r="C28" i="10"/>
  <c r="B28" i="10"/>
  <c r="U27" i="10"/>
  <c r="S27" i="10"/>
  <c r="Q27" i="10"/>
  <c r="C27" i="10"/>
  <c r="B27" i="10"/>
  <c r="W26" i="10"/>
  <c r="U26" i="10"/>
  <c r="S26" i="10"/>
  <c r="Q26" i="10"/>
  <c r="U23" i="10"/>
  <c r="S23" i="10"/>
  <c r="Q23" i="10"/>
  <c r="U22" i="10"/>
  <c r="S22" i="10"/>
  <c r="Q22" i="10"/>
  <c r="W22" i="10" s="1"/>
  <c r="C22" i="10"/>
  <c r="B23" i="10" s="1"/>
  <c r="B22" i="10"/>
  <c r="U21" i="10"/>
  <c r="S21" i="10"/>
  <c r="Q21" i="10"/>
  <c r="W21" i="10" s="1"/>
  <c r="W20" i="10"/>
  <c r="U20" i="10"/>
  <c r="S20" i="10"/>
  <c r="Q20" i="10"/>
  <c r="U19" i="10"/>
  <c r="S19" i="10"/>
  <c r="Q19" i="10"/>
  <c r="W19" i="10" s="1"/>
  <c r="C19" i="10"/>
  <c r="B20" i="10" s="1"/>
  <c r="B19" i="10"/>
  <c r="U18" i="10"/>
  <c r="S18" i="10"/>
  <c r="Q18" i="10"/>
  <c r="U15" i="10"/>
  <c r="S15" i="10"/>
  <c r="Q15" i="10"/>
  <c r="W15" i="10" s="1"/>
  <c r="B15" i="10"/>
  <c r="U14" i="10"/>
  <c r="S14" i="10"/>
  <c r="Q14" i="10"/>
  <c r="C14" i="10"/>
  <c r="B14" i="10"/>
  <c r="U13" i="10"/>
  <c r="S13" i="10"/>
  <c r="W13" i="10" s="1"/>
  <c r="Q13" i="10"/>
  <c r="B13" i="10"/>
  <c r="U12" i="10"/>
  <c r="S12" i="10"/>
  <c r="Q12" i="10"/>
  <c r="W12" i="10" s="1"/>
  <c r="C12" i="10"/>
  <c r="B12" i="10"/>
  <c r="U11" i="10"/>
  <c r="S11" i="10"/>
  <c r="Q11" i="10"/>
  <c r="W11" i="10" s="1"/>
  <c r="C11" i="10"/>
  <c r="B11" i="10"/>
  <c r="W10" i="10"/>
  <c r="U10" i="10"/>
  <c r="S10" i="10"/>
  <c r="Q10" i="10"/>
  <c r="U7" i="10"/>
  <c r="S7" i="10"/>
  <c r="Q7" i="10"/>
  <c r="W7" i="10" s="1"/>
  <c r="U6" i="10"/>
  <c r="S6" i="10"/>
  <c r="Q6" i="10"/>
  <c r="W6" i="10" s="1"/>
  <c r="C6" i="10"/>
  <c r="B7" i="10" s="1"/>
  <c r="B6" i="10"/>
  <c r="U5" i="10"/>
  <c r="S5" i="10"/>
  <c r="Q5" i="10"/>
  <c r="W4" i="10"/>
  <c r="U4" i="10"/>
  <c r="S4" i="10"/>
  <c r="Q4" i="10"/>
  <c r="C4" i="10"/>
  <c r="B5" i="10" s="1"/>
  <c r="U3" i="10"/>
  <c r="S3" i="10"/>
  <c r="Q3" i="10"/>
  <c r="W3" i="10" s="1"/>
  <c r="C3" i="10"/>
  <c r="B4" i="10" s="1"/>
  <c r="B3" i="10"/>
  <c r="S2" i="10"/>
  <c r="Q2" i="10"/>
  <c r="W2" i="10" s="1"/>
  <c r="F35" i="11" l="1"/>
  <c r="G35" i="11" s="1"/>
  <c r="F30" i="11"/>
  <c r="G29" i="11"/>
  <c r="F32" i="11"/>
  <c r="G32" i="11" s="1"/>
  <c r="E33" i="11"/>
  <c r="F33" i="11" s="1"/>
  <c r="T28" i="10"/>
  <c r="X29" i="10"/>
  <c r="T38" i="10"/>
  <c r="X22" i="10"/>
  <c r="T20" i="10"/>
  <c r="X26" i="10"/>
  <c r="V28" i="10"/>
  <c r="X31" i="10"/>
  <c r="T36" i="10"/>
  <c r="X37" i="10"/>
  <c r="X20" i="10"/>
  <c r="T31" i="10"/>
  <c r="T37" i="10"/>
  <c r="T18" i="10"/>
  <c r="V18" i="10"/>
  <c r="X19" i="10"/>
  <c r="T22" i="10"/>
  <c r="T26" i="10"/>
  <c r="X28" i="10"/>
  <c r="V34" i="10"/>
  <c r="X35" i="10"/>
  <c r="X36" i="10"/>
  <c r="V37" i="10"/>
  <c r="X30" i="10"/>
  <c r="V20" i="10"/>
  <c r="V26" i="10"/>
  <c r="W14" i="10"/>
  <c r="X21" i="10"/>
  <c r="V29" i="10"/>
  <c r="X39" i="10"/>
  <c r="W5" i="10"/>
  <c r="T21" i="10"/>
  <c r="V23" i="10"/>
  <c r="V27" i="10"/>
  <c r="W34" i="10"/>
  <c r="X34" i="10" s="1"/>
  <c r="T35" i="10"/>
  <c r="W38" i="10"/>
  <c r="X38" i="10" s="1"/>
  <c r="T39" i="10"/>
  <c r="W18" i="10"/>
  <c r="X18" i="10" s="1"/>
  <c r="T19" i="10"/>
  <c r="C20" i="10"/>
  <c r="B21" i="10" s="1"/>
  <c r="W23" i="10"/>
  <c r="X23" i="10" s="1"/>
  <c r="W27" i="10"/>
  <c r="X27" i="10" s="1"/>
  <c r="V30" i="10"/>
  <c r="V36" i="10"/>
  <c r="V39" i="10"/>
  <c r="G6" i="10" l="1"/>
  <c r="G5" i="10"/>
  <c r="G2" i="10"/>
  <c r="G4" i="10"/>
  <c r="X4" i="10" s="1"/>
  <c r="G3" i="10"/>
  <c r="G7" i="10"/>
  <c r="V7" i="10" s="1"/>
  <c r="G14" i="10"/>
  <c r="G12" i="10"/>
  <c r="G10" i="10"/>
  <c r="G11" i="10"/>
  <c r="V11" i="10" s="1"/>
  <c r="G15" i="10"/>
  <c r="G13" i="10"/>
  <c r="V13" i="10" s="1"/>
  <c r="C9" i="11"/>
  <c r="C10" i="11" s="1"/>
  <c r="T5" i="10" l="1"/>
  <c r="C6" i="11"/>
  <c r="V2" i="10"/>
  <c r="X2" i="10"/>
  <c r="X12" i="10"/>
  <c r="T12" i="10"/>
  <c r="T13" i="10"/>
  <c r="T2" i="10"/>
  <c r="T3" i="10"/>
  <c r="X3" i="10"/>
  <c r="V3" i="10"/>
  <c r="V10" i="10"/>
  <c r="X10" i="10"/>
  <c r="T10" i="10"/>
  <c r="X14" i="10"/>
  <c r="T14" i="10"/>
  <c r="V14" i="10"/>
  <c r="D27" i="11"/>
  <c r="D25" i="11" s="1"/>
  <c r="E27" i="11"/>
  <c r="E25" i="11" s="1"/>
  <c r="T15" i="10"/>
  <c r="V15" i="10"/>
  <c r="X15" i="10"/>
  <c r="T6" i="10"/>
  <c r="V6" i="10"/>
  <c r="X6" i="10"/>
  <c r="X13" i="10"/>
  <c r="V12" i="10"/>
  <c r="X11" i="10"/>
  <c r="V4" i="10"/>
  <c r="X5" i="10"/>
  <c r="X7" i="10"/>
  <c r="T11" i="10"/>
  <c r="T7" i="10"/>
  <c r="T4" i="10"/>
  <c r="V5" i="10"/>
  <c r="C7" i="11" l="1"/>
  <c r="F23" i="11" s="1"/>
  <c r="E28" i="11"/>
  <c r="E31" i="11" s="1"/>
  <c r="D28" i="11"/>
  <c r="D31" i="11" s="1"/>
  <c r="D37" i="11" s="1"/>
  <c r="D40" i="11" s="1"/>
  <c r="D41" i="11" s="1"/>
  <c r="G24" i="11"/>
  <c r="G28" i="11" s="1"/>
  <c r="G31" i="11" s="1"/>
  <c r="G37" i="11" s="1"/>
  <c r="C24" i="11"/>
  <c r="C28" i="11" s="1"/>
  <c r="C31" i="11" s="1"/>
  <c r="E37" i="11" l="1"/>
  <c r="E41" i="11" s="1"/>
  <c r="C37" i="11"/>
  <c r="G41" i="11"/>
  <c r="F24" i="11"/>
  <c r="F28" i="11" s="1"/>
  <c r="F27" i="11"/>
  <c r="C40" i="11" l="1"/>
  <c r="C41" i="11" s="1"/>
  <c r="F31" i="11"/>
  <c r="F37" i="11" s="1"/>
  <c r="F41" i="11" s="1"/>
</calcChain>
</file>

<file path=xl/sharedStrings.xml><?xml version="1.0" encoding="utf-8"?>
<sst xmlns="http://schemas.openxmlformats.org/spreadsheetml/2006/main" count="201" uniqueCount="104">
  <si>
    <t>#0041a5</t>
  </si>
  <si>
    <t>#a0a0a0</t>
  </si>
  <si>
    <t>#00affa</t>
  </si>
  <si>
    <t>#002d73</t>
  </si>
  <si>
    <t>#0066cc</t>
  </si>
  <si>
    <t>#cdebff</t>
  </si>
  <si>
    <t>#4f4f4f</t>
  </si>
  <si>
    <t>#e6e6e6</t>
  </si>
  <si>
    <t>#00c7a5</t>
  </si>
  <si>
    <t>#ffd43b</t>
  </si>
  <si>
    <t>#ff6b6b</t>
  </si>
  <si>
    <t>% DE REDUÇÃO IBS E CBS</t>
  </si>
  <si>
    <t>CBS</t>
  </si>
  <si>
    <t>IBS</t>
  </si>
  <si>
    <t>ANO</t>
  </si>
  <si>
    <t>PIS/COFINS</t>
  </si>
  <si>
    <t>ISS</t>
  </si>
  <si>
    <t>EXTINTO</t>
  </si>
  <si>
    <t>ANEXO I</t>
  </si>
  <si>
    <t>1ª FAIXA</t>
  </si>
  <si>
    <t>2ª FAIXA</t>
  </si>
  <si>
    <t>3ª FAIXA</t>
  </si>
  <si>
    <t>4ª FAIXA</t>
  </si>
  <si>
    <t>5ª FAIXA</t>
  </si>
  <si>
    <t>6ª FAIXA</t>
  </si>
  <si>
    <t>ANEXO II</t>
  </si>
  <si>
    <t>ANEXO III</t>
  </si>
  <si>
    <t>ANEXO IV</t>
  </si>
  <si>
    <t>ANEXO V</t>
  </si>
  <si>
    <t>IRPJ</t>
  </si>
  <si>
    <t>CSLL</t>
  </si>
  <si>
    <t>COFINS</t>
  </si>
  <si>
    <t>PIS</t>
  </si>
  <si>
    <t>CPP</t>
  </si>
  <si>
    <t>ICMS</t>
  </si>
  <si>
    <t>IPI</t>
  </si>
  <si>
    <t>MÍNIMO</t>
  </si>
  <si>
    <t>MÁXIMO</t>
  </si>
  <si>
    <t>FAIXA</t>
  </si>
  <si>
    <t>DEDUZIR</t>
  </si>
  <si>
    <t>TOTAL</t>
  </si>
  <si>
    <t>RB 12</t>
  </si>
  <si>
    <t>FAIXA DO SIMPLES</t>
  </si>
  <si>
    <t>ALÍQUOTA EFETIVA SIMPLES</t>
  </si>
  <si>
    <t>NÃO INCIDENTE</t>
  </si>
  <si>
    <t>RENDA</t>
  </si>
  <si>
    <t>SIMPLES NACIONAL</t>
  </si>
  <si>
    <t>VALOR DA RECEITA BRUTA</t>
  </si>
  <si>
    <t>ANEXO SIMPLES</t>
  </si>
  <si>
    <t>REGIME TRIBUTÁRIO</t>
  </si>
  <si>
    <t>ANEXO I - COMÉRCIO</t>
  </si>
  <si>
    <t>Cesta Básica Nacional de Alimentos</t>
  </si>
  <si>
    <t>Medicamentos (Doenças raras, oncologia, etc.)</t>
  </si>
  <si>
    <t>Produtos hortícolas, frutas e ovos</t>
  </si>
  <si>
    <t>Prouni (Educação Superior)</t>
  </si>
  <si>
    <t>Automóveis (PcD, Autistas e Táxis)</t>
  </si>
  <si>
    <t>Entidades de Ciência e Tecnologia (ICT)</t>
  </si>
  <si>
    <t>Ato Cooperativo (Sist. Cooperativista)</t>
  </si>
  <si>
    <t>Reabilitação Urbana (Áreas Críticas)</t>
  </si>
  <si>
    <t>Locação e Arrendamento de Imóveis</t>
  </si>
  <si>
    <t>Educação (Ensino Formal)</t>
  </si>
  <si>
    <t>Saúde (Serviços Gerais)</t>
  </si>
  <si>
    <t>Dispositivos Médicos e Acessibilidade</t>
  </si>
  <si>
    <t>Alimentos e Higiene (Baixa Renda)</t>
  </si>
  <si>
    <t>Insumos Agropecuários e Aquícolas</t>
  </si>
  <si>
    <t>Produções Culturais e Audiovisuais</t>
  </si>
  <si>
    <t>Segurança e Soberania Nacional</t>
  </si>
  <si>
    <t>Planos de Assistência à Saúde</t>
  </si>
  <si>
    <t>Bens Imóveis (Venda e Incorporação)</t>
  </si>
  <si>
    <t>Bares e Restaurantes</t>
  </si>
  <si>
    <t>Hotelaria e Parques Temáticos</t>
  </si>
  <si>
    <t>Transporte Coletivo Intermunicipal/Estadual</t>
  </si>
  <si>
    <t>Agências de Turismo</t>
  </si>
  <si>
    <t>Profissionais Liberais (Advogados, Contadores, etc.)</t>
  </si>
  <si>
    <t>Planos de Saúde para Animais Domésticos</t>
  </si>
  <si>
    <t>Outro - não listado</t>
  </si>
  <si>
    <t>TIPO PRODUTO/SERVIÇO</t>
  </si>
  <si>
    <t>ALÍQUOTA ICMS SAÍDA</t>
  </si>
  <si>
    <t>ALÍQUOTA ISS SAÍDA</t>
  </si>
  <si>
    <t>ALÍQUOTA PIS/COFINS</t>
  </si>
  <si>
    <t>CUSTOS</t>
  </si>
  <si>
    <t>FOLHA DE PAGAMENTO</t>
  </si>
  <si>
    <t>RECEITA BRUTA</t>
  </si>
  <si>
    <t>RECEITA LÍQUIDA</t>
  </si>
  <si>
    <t>LUCRO BRUTO</t>
  </si>
  <si>
    <t>CRÉDITO TRIBUTÁRIO S/ CUSTOS</t>
  </si>
  <si>
    <t>CRÉDITO TRIBUTÁRIO S/ DESPESAS</t>
  </si>
  <si>
    <t>PRESUNÇÃO CSLL</t>
  </si>
  <si>
    <t>PRESUNÇÃO IRPJ</t>
  </si>
  <si>
    <t>IRPJ + CSLL</t>
  </si>
  <si>
    <t>LUCRO/PREJUÍZO ANTES DO IR/CS</t>
  </si>
  <si>
    <t>LUCRO/PREJUÍZO LÍQUIDO</t>
  </si>
  <si>
    <t>ICMS/ISS</t>
  </si>
  <si>
    <t>-</t>
  </si>
  <si>
    <t>2027 - LUCRO REAL</t>
  </si>
  <si>
    <t>DESPESAS - PJ</t>
  </si>
  <si>
    <t>DESPESAS - PF/NÃO CONTRIBUINTES</t>
  </si>
  <si>
    <t>DESPESAS - PJ/NÃO CONTRIBUINTES</t>
  </si>
  <si>
    <t>2027 - LUCRO PRESUMIDO</t>
  </si>
  <si>
    <t>IMPOSTOS S/ FOLHA</t>
  </si>
  <si>
    <t>2027 - SN HÍBRIDO</t>
  </si>
  <si>
    <t>ALÍQUOTA 2027 SN HÍBRIDO</t>
  </si>
  <si>
    <t>2027 - SN REGULAR</t>
  </si>
  <si>
    <t>LUCRO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</si>
</sst>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* #,##0_-;\-* #,##0_-;_-* &quot;-&quot;??_-;_-@_-"/>
    <numFmt numFmtId="166" formatCode="#,##0.00_ ;[Red]\-#,##0.00\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Garamond"/>
      <family val="1"/>
    </font>
    <font>
      <b/>
      <sz val="11"/>
      <color theme="0"/>
      <name val="Garamond"/>
      <family val="1"/>
    </font>
    <font>
      <b/>
      <i/>
      <sz val="9.5"/>
      <color rgb="FFFF6B6B"/>
      <name val="Garamond"/>
      <family val="1"/>
    </font>
    <font>
      <b/>
      <i/>
      <sz val="11"/>
      <color theme="0"/>
      <name val="Garamond"/>
      <family val="1"/>
    </font>
    <font>
      <sz val="11"/>
      <name val="Garamond"/>
      <family val="1"/>
    </font>
    <font>
      <sz val="9"/>
      <color rgb="FF1A1A1A"/>
      <name val="Arial"/>
      <family val="2"/>
    </font>
    <font>
      <b/>
      <sz val="9"/>
      <color rgb="FF006400"/>
      <name val="Arial"/>
      <family val="2"/>
    </font>
    <font>
      <b/>
      <sz val="12"/>
      <color theme="0"/>
      <name val="Garamond"/>
      <family val="1"/>
    </font>
    <font>
      <i/>
      <sz val="11"/>
      <color theme="1"/>
      <name val="Garamond"/>
      <family val="1"/>
    </font>
  </fonts>
  <fills count="17">
    <fill>
      <patternFill patternType="none"/>
    </fill>
    <fill>
      <patternFill patternType="gray125"/>
    </fill>
    <fill>
      <patternFill patternType="solid">
        <fgColor rgb="FF0041A5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00AFFA"/>
        <bgColor indexed="64"/>
      </patternFill>
    </fill>
    <fill>
      <patternFill patternType="solid">
        <fgColor rgb="FF002D73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CDEBFF"/>
        <bgColor indexed="64"/>
      </patternFill>
    </fill>
    <fill>
      <patternFill patternType="solid">
        <fgColor rgb="FF4F4F4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00C7A5"/>
        <bgColor indexed="64"/>
      </patternFill>
    </fill>
    <fill>
      <patternFill patternType="solid">
        <fgColor rgb="FFFFD43B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8F0FC"/>
        <bgColor rgb="FFE8F0FC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D0D8EC"/>
      </left>
      <right style="thin">
        <color rgb="FFD0D8EC"/>
      </right>
      <top style="thin">
        <color rgb="FFD0D8EC"/>
      </top>
      <bottom style="thin">
        <color rgb="FFD0D8EC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10" fontId="0" fillId="0" borderId="0" xfId="0" applyNumberFormat="1"/>
    <xf numFmtId="10" fontId="0" fillId="0" borderId="0" xfId="3" applyNumberFormat="1" applyFont="1"/>
    <xf numFmtId="0" fontId="2" fillId="7" borderId="1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164" fontId="4" fillId="7" borderId="6" xfId="2" applyNumberFormat="1" applyFont="1" applyFill="1" applyBorder="1" applyAlignment="1">
      <alignment horizontal="center" vertical="center"/>
    </xf>
    <xf numFmtId="164" fontId="2" fillId="7" borderId="0" xfId="0" applyNumberFormat="1" applyFont="1" applyFill="1" applyAlignment="1">
      <alignment vertical="center"/>
    </xf>
    <xf numFmtId="0" fontId="2" fillId="7" borderId="2" xfId="0" applyFont="1" applyFill="1" applyBorder="1" applyAlignment="1">
      <alignment vertical="center"/>
    </xf>
    <xf numFmtId="164" fontId="3" fillId="6" borderId="4" xfId="2" applyFont="1" applyFill="1" applyBorder="1" applyAlignment="1">
      <alignment horizontal="center" vertical="center"/>
    </xf>
    <xf numFmtId="10" fontId="3" fillId="6" borderId="7" xfId="0" applyNumberFormat="1" applyFont="1" applyFill="1" applyBorder="1" applyAlignment="1">
      <alignment horizontal="center" vertical="center"/>
    </xf>
    <xf numFmtId="10" fontId="3" fillId="6" borderId="7" xfId="3" applyNumberFormat="1" applyFont="1" applyFill="1" applyBorder="1" applyAlignment="1">
      <alignment horizontal="center" vertical="center"/>
    </xf>
    <xf numFmtId="10" fontId="3" fillId="6" borderId="4" xfId="3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3" fontId="0" fillId="0" borderId="0" xfId="1" applyFont="1"/>
    <xf numFmtId="164" fontId="3" fillId="6" borderId="7" xfId="2" applyFont="1" applyFill="1" applyBorder="1" applyAlignment="1">
      <alignment horizontal="center" vertical="center"/>
    </xf>
    <xf numFmtId="165" fontId="0" fillId="0" borderId="0" xfId="1" applyNumberFormat="1" applyFont="1"/>
    <xf numFmtId="0" fontId="6" fillId="7" borderId="0" xfId="0" applyFont="1" applyFill="1" applyAlignment="1">
      <alignment vertical="center"/>
    </xf>
    <xf numFmtId="164" fontId="6" fillId="7" borderId="0" xfId="0" applyNumberFormat="1" applyFont="1" applyFill="1" applyAlignment="1">
      <alignment vertical="center"/>
    </xf>
    <xf numFmtId="0" fontId="6" fillId="7" borderId="0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7" fillId="14" borderId="10" xfId="0" applyFont="1" applyFill="1" applyBorder="1" applyAlignment="1">
      <alignment horizontal="left" vertical="center" wrapText="1"/>
    </xf>
    <xf numFmtId="9" fontId="8" fillId="14" borderId="10" xfId="0" applyNumberFormat="1" applyFont="1" applyFill="1" applyBorder="1" applyAlignment="1">
      <alignment horizontal="center" vertical="center"/>
    </xf>
    <xf numFmtId="10" fontId="8" fillId="14" borderId="10" xfId="0" applyNumberFormat="1" applyFont="1" applyFill="1" applyBorder="1" applyAlignment="1">
      <alignment horizontal="center" vertical="center"/>
    </xf>
    <xf numFmtId="0" fontId="7" fillId="15" borderId="10" xfId="0" applyFont="1" applyFill="1" applyBorder="1" applyAlignment="1">
      <alignment horizontal="left" vertical="center" wrapText="1"/>
    </xf>
    <xf numFmtId="9" fontId="8" fillId="15" borderId="10" xfId="0" applyNumberFormat="1" applyFont="1" applyFill="1" applyBorder="1" applyAlignment="1">
      <alignment horizontal="center" vertical="center"/>
    </xf>
    <xf numFmtId="10" fontId="8" fillId="15" borderId="10" xfId="0" applyNumberFormat="1" applyFont="1" applyFill="1" applyBorder="1" applyAlignment="1">
      <alignment horizontal="center" vertical="center"/>
    </xf>
    <xf numFmtId="9" fontId="7" fillId="15" borderId="10" xfId="0" applyNumberFormat="1" applyFont="1" applyFill="1" applyBorder="1" applyAlignment="1">
      <alignment horizontal="center" vertical="center"/>
    </xf>
    <xf numFmtId="10" fontId="7" fillId="15" borderId="10" xfId="0" applyNumberFormat="1" applyFont="1" applyFill="1" applyBorder="1" applyAlignment="1">
      <alignment horizontal="center" vertical="center"/>
    </xf>
    <xf numFmtId="9" fontId="7" fillId="14" borderId="10" xfId="0" applyNumberFormat="1" applyFont="1" applyFill="1" applyBorder="1" applyAlignment="1">
      <alignment horizontal="center" vertical="center"/>
    </xf>
    <xf numFmtId="10" fontId="7" fillId="14" borderId="10" xfId="0" applyNumberFormat="1" applyFont="1" applyFill="1" applyBorder="1" applyAlignment="1">
      <alignment horizontal="center" vertical="center"/>
    </xf>
    <xf numFmtId="166" fontId="2" fillId="7" borderId="6" xfId="2" applyNumberFormat="1" applyFont="1" applyFill="1" applyBorder="1" applyAlignment="1">
      <alignment vertical="center"/>
    </xf>
    <xf numFmtId="0" fontId="9" fillId="8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9" fontId="10" fillId="7" borderId="6" xfId="3" applyFont="1" applyFill="1" applyBorder="1" applyAlignment="1">
      <alignment vertical="center"/>
    </xf>
    <xf numFmtId="166" fontId="2" fillId="7" borderId="0" xfId="0" applyNumberFormat="1" applyFont="1" applyFill="1" applyAlignment="1">
      <alignment vertical="center"/>
    </xf>
    <xf numFmtId="166" fontId="2" fillId="7" borderId="6" xfId="2" applyNumberFormat="1" applyFont="1" applyFill="1" applyBorder="1" applyAlignment="1">
      <alignment horizontal="right" vertical="center"/>
    </xf>
    <xf numFmtId="9" fontId="10" fillId="7" borderId="0" xfId="0" applyNumberFormat="1" applyFont="1" applyFill="1" applyAlignment="1">
      <alignment vertical="center"/>
    </xf>
    <xf numFmtId="166" fontId="9" fillId="16" borderId="6" xfId="2" applyNumberFormat="1" applyFont="1" applyFill="1" applyBorder="1" applyAlignment="1">
      <alignment horizontal="center" vertical="center"/>
    </xf>
    <xf numFmtId="43" fontId="2" fillId="7" borderId="0" xfId="1" applyFont="1" applyFill="1" applyAlignment="1">
      <alignment vertical="center"/>
    </xf>
    <xf numFmtId="43" fontId="2" fillId="7" borderId="0" xfId="0" applyNumberFormat="1" applyFont="1" applyFill="1" applyAlignment="1">
      <alignment vertical="center"/>
    </xf>
    <xf numFmtId="44" fontId="2" fillId="7" borderId="0" xfId="0" applyNumberFormat="1" applyFont="1" applyFill="1" applyAlignment="1">
      <alignment vertical="center"/>
    </xf>
    <xf numFmtId="0" fontId="0" fillId="0" borderId="0" xfId="3" applyNumberFormat="1" applyFont="1"/>
    <xf numFmtId="10" fontId="0" fillId="0" borderId="0" xfId="3" applyNumberFormat="1" applyFont="1" applyAlignment="1">
      <alignment horizontal="center"/>
    </xf>
    <xf numFmtId="10" fontId="6" fillId="7" borderId="0" xfId="0" applyNumberFormat="1" applyFont="1" applyFill="1" applyAlignment="1">
      <alignment vertical="center"/>
    </xf>
    <xf numFmtId="43" fontId="6" fillId="7" borderId="0" xfId="1" applyFont="1" applyFill="1" applyAlignment="1">
      <alignment vertical="center"/>
    </xf>
    <xf numFmtId="0" fontId="6" fillId="7" borderId="9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9" fontId="6" fillId="7" borderId="0" xfId="0" applyNumberFormat="1" applyFont="1" applyFill="1" applyBorder="1" applyAlignment="1">
      <alignment vertical="center"/>
    </xf>
    <xf numFmtId="9" fontId="6" fillId="7" borderId="0" xfId="0" applyNumberFormat="1" applyFont="1" applyFill="1" applyAlignment="1">
      <alignment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colors>
    <mruColors>
      <color rgb="FF4F4F4F"/>
      <color rgb="FFCDEBFF"/>
      <color rgb="FFE6E6E6"/>
      <color rgb="FFFF6B6B"/>
      <color rgb="FF0066CC"/>
      <color rgb="FF002D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9965</xdr:colOff>
      <xdr:row>14</xdr:row>
      <xdr:rowOff>19051</xdr:rowOff>
    </xdr:from>
    <xdr:to>
      <xdr:col>7</xdr:col>
      <xdr:colOff>9525</xdr:colOff>
      <xdr:row>20</xdr:row>
      <xdr:rowOff>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0892D1-2B74-4806-B566-C770A1AC3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5465" y="2581276"/>
          <a:ext cx="6143185" cy="1123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75025</xdr:rowOff>
    </xdr:from>
    <xdr:to>
      <xdr:col>0</xdr:col>
      <xdr:colOff>1962150</xdr:colOff>
      <xdr:row>2</xdr:row>
      <xdr:rowOff>154280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DE699A-2947-41B4-9646-552CDA274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75025"/>
          <a:ext cx="1685925" cy="460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5C97-961F-4913-8834-A6D85B79280F}">
  <dimension ref="A1:K41"/>
  <sheetViews>
    <sheetView tabSelected="1" zoomScaleNormal="100" workbookViewId="0">
      <selection activeCell="C9" sqref="C9"/>
    </sheetView>
  </sheetViews>
  <sheetFormatPr defaultColWidth="7" defaultRowHeight="15" x14ac:dyDescent="0.25"/>
  <cols>
    <col min="1" max="1" width="8.7109375" style="16" customWidth="1"/>
    <col min="2" max="2" width="49.28515625" style="16" customWidth="1"/>
    <col min="3" max="3" width="57" style="16" customWidth="1"/>
    <col min="4" max="9" width="30.7109375" style="16" customWidth="1"/>
    <col min="10" max="10" width="8.7109375" style="16" customWidth="1"/>
    <col min="11" max="16384" width="7" style="16"/>
  </cols>
  <sheetData>
    <row r="1" spans="1:11" x14ac:dyDescent="0.25">
      <c r="B1" s="15"/>
      <c r="C1" s="15"/>
      <c r="D1" s="34"/>
      <c r="E1" s="35"/>
      <c r="F1" s="34"/>
      <c r="G1" s="34"/>
      <c r="H1" s="34"/>
      <c r="I1" s="34"/>
      <c r="J1" s="34"/>
      <c r="K1" s="34"/>
    </row>
    <row r="2" spans="1:11" x14ac:dyDescent="0.25">
      <c r="A2" s="24"/>
      <c r="B2" s="30" t="s">
        <v>49</v>
      </c>
      <c r="C2" s="26" t="s">
        <v>103</v>
      </c>
      <c r="D2" s="34"/>
      <c r="E2" s="61"/>
      <c r="F2" s="34"/>
      <c r="G2" s="36"/>
      <c r="H2" s="36"/>
      <c r="I2" s="36"/>
      <c r="J2" s="34"/>
      <c r="K2" s="34"/>
    </row>
    <row r="3" spans="1:11" x14ac:dyDescent="0.25">
      <c r="A3" s="24"/>
      <c r="B3" s="30" t="s">
        <v>48</v>
      </c>
      <c r="C3" s="26" t="s">
        <v>50</v>
      </c>
      <c r="D3" s="34"/>
      <c r="E3" s="61"/>
      <c r="F3" s="34"/>
      <c r="G3" s="36"/>
      <c r="H3" s="36"/>
      <c r="I3" s="36"/>
      <c r="J3" s="34"/>
      <c r="K3" s="34"/>
    </row>
    <row r="4" spans="1:11" x14ac:dyDescent="0.25">
      <c r="A4" s="24"/>
      <c r="B4" s="30" t="s">
        <v>41</v>
      </c>
      <c r="C4" s="32">
        <v>500000</v>
      </c>
      <c r="D4" s="34"/>
      <c r="E4" s="62"/>
      <c r="F4" s="34"/>
      <c r="G4" s="36"/>
      <c r="H4" s="36"/>
      <c r="I4" s="36"/>
      <c r="J4" s="34"/>
      <c r="K4" s="34"/>
    </row>
    <row r="5" spans="1:11" x14ac:dyDescent="0.25">
      <c r="A5" s="24"/>
      <c r="B5" s="30" t="s">
        <v>42</v>
      </c>
      <c r="C5" s="32" t="str">
        <f>IF(C2="SIMPLES NACIONAL",IF(C4&lt;=180000,"1ª FAIXA",IF(C4&lt;=360000,"2ª FAIXA",IF(C4&lt;=720000,"3ª FAIXA",IF(C4&lt;=1800000,"4ª FAIXA",IF(C4&lt;=3600000,"5ª FAIXA",IF(C4&lt;=4800000,"6ª FAIXA","FORA DO SIMPLES")))))),"-")</f>
        <v>-</v>
      </c>
      <c r="D5" s="34"/>
      <c r="E5" s="35"/>
      <c r="F5" s="34"/>
      <c r="G5" s="36"/>
      <c r="H5" s="36"/>
      <c r="I5" s="36"/>
      <c r="J5" s="34"/>
      <c r="K5" s="34"/>
    </row>
    <row r="6" spans="1:11" x14ac:dyDescent="0.25">
      <c r="A6" s="24"/>
      <c r="B6" s="30" t="s">
        <v>43</v>
      </c>
      <c r="C6" s="27">
        <f>IF(C2="SIMPLES NACIONAL",VLOOKUP(C4,'ANEXOS SN DRE'!F2:G39,2,FALSE),0)</f>
        <v>0</v>
      </c>
      <c r="D6" s="34"/>
      <c r="E6" s="34"/>
      <c r="F6" s="34"/>
      <c r="G6" s="36"/>
      <c r="H6" s="36"/>
      <c r="I6" s="36"/>
      <c r="J6" s="34"/>
      <c r="K6" s="34"/>
    </row>
    <row r="7" spans="1:11" x14ac:dyDescent="0.25">
      <c r="A7" s="24"/>
      <c r="B7" s="30" t="s">
        <v>101</v>
      </c>
      <c r="C7" s="27">
        <f>IF(C2="SIMPLES NACIONAL",(C6-(VLOOKUP(C4,'ANEXOS SN DRE'!F2:V39,17,FALSE))),0)</f>
        <v>0</v>
      </c>
      <c r="D7" s="34"/>
      <c r="E7" s="34"/>
      <c r="F7" s="34"/>
      <c r="G7" s="36"/>
      <c r="H7" s="36"/>
      <c r="I7" s="36"/>
      <c r="J7" s="34"/>
      <c r="K7" s="34"/>
    </row>
    <row r="8" spans="1:11" x14ac:dyDescent="0.25">
      <c r="A8" s="24"/>
      <c r="B8" s="30" t="s">
        <v>76</v>
      </c>
      <c r="C8" s="27" t="s">
        <v>68</v>
      </c>
      <c r="D8" s="34"/>
      <c r="E8" s="34"/>
      <c r="F8" s="34"/>
      <c r="G8" s="36"/>
      <c r="H8" s="36"/>
      <c r="I8" s="36"/>
      <c r="J8" s="34"/>
      <c r="K8" s="34"/>
    </row>
    <row r="9" spans="1:11" x14ac:dyDescent="0.25">
      <c r="A9" s="24"/>
      <c r="B9" s="30" t="s">
        <v>11</v>
      </c>
      <c r="C9" s="26">
        <f>VLOOKUP(C8,CORES!A7:B31,2,FALSE)</f>
        <v>0.5</v>
      </c>
      <c r="D9" s="61"/>
      <c r="E9" s="61"/>
      <c r="F9" s="34"/>
      <c r="G9" s="36"/>
      <c r="H9" s="36"/>
      <c r="I9" s="36"/>
      <c r="J9" s="34"/>
      <c r="K9" s="34"/>
    </row>
    <row r="10" spans="1:11" x14ac:dyDescent="0.25">
      <c r="A10" s="24"/>
      <c r="B10" s="30" t="s">
        <v>12</v>
      </c>
      <c r="C10" s="26">
        <f>0.093*(1-C9)</f>
        <v>4.65E-2</v>
      </c>
      <c r="D10" s="34"/>
      <c r="E10" s="34"/>
      <c r="F10" s="61"/>
      <c r="G10" s="61"/>
      <c r="H10" s="61"/>
      <c r="I10" s="61"/>
      <c r="J10" s="34"/>
      <c r="K10" s="34"/>
    </row>
    <row r="11" spans="1:11" ht="6.95" customHeight="1" x14ac:dyDescent="0.25">
      <c r="C11" s="17"/>
      <c r="D11" s="66"/>
      <c r="E11" s="67"/>
      <c r="F11" s="67"/>
      <c r="G11" s="67"/>
      <c r="H11" s="67"/>
      <c r="I11" s="67"/>
      <c r="J11" s="34"/>
      <c r="K11" s="34"/>
    </row>
    <row r="12" spans="1:11" x14ac:dyDescent="0.25">
      <c r="B12" s="29" t="s">
        <v>47</v>
      </c>
      <c r="C12" s="25">
        <v>250000</v>
      </c>
      <c r="D12" s="34"/>
      <c r="E12" s="34"/>
      <c r="F12" s="34"/>
      <c r="G12" s="34"/>
      <c r="H12" s="34"/>
      <c r="I12" s="34"/>
      <c r="J12" s="34"/>
      <c r="K12" s="34"/>
    </row>
    <row r="13" spans="1:11" x14ac:dyDescent="0.25">
      <c r="B13" s="29" t="s">
        <v>77</v>
      </c>
      <c r="C13" s="28">
        <v>0</v>
      </c>
      <c r="D13" s="34"/>
      <c r="E13" s="34"/>
      <c r="F13" s="34"/>
      <c r="G13" s="34"/>
      <c r="H13" s="34"/>
      <c r="I13" s="34"/>
      <c r="J13" s="34"/>
      <c r="K13" s="34"/>
    </row>
    <row r="14" spans="1:11" x14ac:dyDescent="0.25">
      <c r="B14" s="29" t="s">
        <v>78</v>
      </c>
      <c r="C14" s="28">
        <v>0.05</v>
      </c>
      <c r="D14" s="34"/>
      <c r="E14" s="64"/>
      <c r="F14" s="64"/>
      <c r="G14" s="64"/>
      <c r="H14" s="34"/>
      <c r="I14" s="34"/>
      <c r="J14" s="34"/>
      <c r="K14" s="34"/>
    </row>
    <row r="15" spans="1:11" x14ac:dyDescent="0.25">
      <c r="B15" s="29" t="s">
        <v>79</v>
      </c>
      <c r="C15" s="28">
        <f>IF(C2="LUCRO REAL",9.25%,IF(C2="LUCRO PRESUMIDO",3.65%,0))</f>
        <v>9.2499999999999999E-2</v>
      </c>
      <c r="D15" s="37"/>
      <c r="E15" s="36"/>
      <c r="F15" s="36"/>
      <c r="G15" s="37"/>
      <c r="H15" s="34"/>
      <c r="I15" s="34"/>
      <c r="J15" s="34"/>
      <c r="K15" s="34"/>
    </row>
    <row r="16" spans="1:11" x14ac:dyDescent="0.25">
      <c r="B16" s="29" t="s">
        <v>80</v>
      </c>
      <c r="C16" s="25">
        <v>104500</v>
      </c>
      <c r="D16" s="37"/>
      <c r="E16" s="36"/>
      <c r="F16" s="36"/>
      <c r="G16" s="37"/>
      <c r="H16" s="34"/>
      <c r="I16" s="34"/>
      <c r="J16" s="34"/>
      <c r="K16" s="34"/>
    </row>
    <row r="17" spans="2:11" x14ac:dyDescent="0.25">
      <c r="B17" s="29" t="s">
        <v>95</v>
      </c>
      <c r="C17" s="25">
        <v>30000</v>
      </c>
      <c r="D17" s="37"/>
      <c r="E17" s="36"/>
      <c r="F17" s="36"/>
      <c r="G17" s="37"/>
      <c r="H17" s="34"/>
      <c r="I17" s="34"/>
      <c r="J17" s="34"/>
      <c r="K17" s="34"/>
    </row>
    <row r="18" spans="2:11" x14ac:dyDescent="0.25">
      <c r="B18" s="29" t="s">
        <v>96</v>
      </c>
      <c r="C18" s="25">
        <v>1000</v>
      </c>
      <c r="D18" s="37"/>
      <c r="E18" s="36"/>
      <c r="F18" s="36"/>
      <c r="G18" s="37"/>
      <c r="H18" s="34"/>
      <c r="I18" s="34"/>
      <c r="J18" s="34"/>
      <c r="K18" s="34"/>
    </row>
    <row r="19" spans="2:11" x14ac:dyDescent="0.25">
      <c r="B19" s="29" t="s">
        <v>81</v>
      </c>
      <c r="C19" s="25">
        <v>55000</v>
      </c>
      <c r="D19" s="37"/>
      <c r="E19" s="36"/>
      <c r="F19" s="36"/>
      <c r="G19" s="37"/>
      <c r="H19" s="34"/>
      <c r="I19" s="34"/>
      <c r="J19" s="34"/>
      <c r="K19" s="34"/>
    </row>
    <row r="20" spans="2:11" x14ac:dyDescent="0.25">
      <c r="D20" s="37"/>
      <c r="E20" s="63"/>
      <c r="F20" s="64"/>
      <c r="G20" s="65"/>
      <c r="H20" s="34"/>
      <c r="I20" s="34"/>
      <c r="J20" s="34"/>
      <c r="K20" s="34"/>
    </row>
    <row r="22" spans="2:11" x14ac:dyDescent="0.25">
      <c r="B22" s="18" t="s">
        <v>14</v>
      </c>
      <c r="C22" s="19">
        <v>2026</v>
      </c>
      <c r="D22" s="19" t="s">
        <v>94</v>
      </c>
      <c r="E22" s="19" t="s">
        <v>98</v>
      </c>
      <c r="F22" s="19" t="s">
        <v>100</v>
      </c>
      <c r="G22" s="19" t="s">
        <v>102</v>
      </c>
    </row>
    <row r="23" spans="2:11" x14ac:dyDescent="0.25">
      <c r="B23" s="20" t="s">
        <v>82</v>
      </c>
      <c r="C23" s="48">
        <f>C12</f>
        <v>250000</v>
      </c>
      <c r="D23" s="52">
        <f>C23-(C23*9.25%)</f>
        <v>226875</v>
      </c>
      <c r="E23" s="56">
        <f>C23-(C23*3.65%)</f>
        <v>240875</v>
      </c>
      <c r="F23" s="58">
        <f>C12-(C12*(C6-C7))</f>
        <v>250000</v>
      </c>
      <c r="G23" s="58">
        <f>C12</f>
        <v>250000</v>
      </c>
    </row>
    <row r="24" spans="2:11" x14ac:dyDescent="0.25">
      <c r="B24" s="21" t="s">
        <v>46</v>
      </c>
      <c r="C24" s="53">
        <f>IF(C2="SIMPLES NACIONAL",C23*C6,0)</f>
        <v>0</v>
      </c>
      <c r="D24" s="22" t="s">
        <v>44</v>
      </c>
      <c r="E24" s="22" t="s">
        <v>44</v>
      </c>
      <c r="F24" s="58">
        <f>F23*C7</f>
        <v>0</v>
      </c>
      <c r="G24" s="58">
        <f>G23*C6</f>
        <v>0</v>
      </c>
    </row>
    <row r="25" spans="2:11" x14ac:dyDescent="0.25">
      <c r="B25" s="21" t="s">
        <v>92</v>
      </c>
      <c r="C25" s="48">
        <f>IF(C2="SIMPLES NACIONAL",0,(C23*(C14+C13)))</f>
        <v>12500</v>
      </c>
      <c r="D25" s="52">
        <f>(D23+D27)*(C13+C14)</f>
        <v>11871.234375</v>
      </c>
      <c r="E25" s="52">
        <f>(E23+E27)*(C13+C14)</f>
        <v>12603.784375000001</v>
      </c>
      <c r="F25" s="22" t="s">
        <v>44</v>
      </c>
      <c r="G25" s="22" t="s">
        <v>44</v>
      </c>
    </row>
    <row r="26" spans="2:11" x14ac:dyDescent="0.25">
      <c r="B26" s="21" t="s">
        <v>15</v>
      </c>
      <c r="C26" s="48">
        <f>C23*C15</f>
        <v>23125</v>
      </c>
      <c r="D26" s="22" t="s">
        <v>17</v>
      </c>
      <c r="E26" s="22" t="s">
        <v>17</v>
      </c>
      <c r="F26" s="22" t="s">
        <v>17</v>
      </c>
      <c r="G26" s="22" t="s">
        <v>17</v>
      </c>
    </row>
    <row r="27" spans="2:11" x14ac:dyDescent="0.25">
      <c r="B27" s="21" t="s">
        <v>12</v>
      </c>
      <c r="C27" s="22" t="s">
        <v>44</v>
      </c>
      <c r="D27" s="16">
        <f>D23*C10</f>
        <v>10549.6875</v>
      </c>
      <c r="E27" s="57">
        <f>E23*C10</f>
        <v>11200.6875</v>
      </c>
      <c r="F27" s="58">
        <f>F23*C10</f>
        <v>11625</v>
      </c>
      <c r="G27" s="22" t="s">
        <v>44</v>
      </c>
    </row>
    <row r="28" spans="2:11" ht="15.75" x14ac:dyDescent="0.25">
      <c r="B28" s="49" t="s">
        <v>83</v>
      </c>
      <c r="C28" s="55">
        <f>C23-C24-C25-C26</f>
        <v>214375</v>
      </c>
      <c r="D28" s="55">
        <f>D23-D25</f>
        <v>215003.765625</v>
      </c>
      <c r="E28" s="55">
        <f>E23-E25</f>
        <v>228271.21562500001</v>
      </c>
      <c r="F28" s="55">
        <f>F23-F24</f>
        <v>250000</v>
      </c>
      <c r="G28" s="55">
        <f>G23-G24</f>
        <v>250000</v>
      </c>
    </row>
    <row r="29" spans="2:11" x14ac:dyDescent="0.25">
      <c r="B29" s="21" t="s">
        <v>80</v>
      </c>
      <c r="C29" s="48">
        <f>C16</f>
        <v>104500</v>
      </c>
      <c r="D29" s="48">
        <f>C16</f>
        <v>104500</v>
      </c>
      <c r="E29" s="48">
        <f>C16</f>
        <v>104500</v>
      </c>
      <c r="F29" s="48">
        <f>E29</f>
        <v>104500</v>
      </c>
      <c r="G29" s="52">
        <f>F29</f>
        <v>104500</v>
      </c>
    </row>
    <row r="30" spans="2:11" x14ac:dyDescent="0.25">
      <c r="B30" s="21" t="s">
        <v>85</v>
      </c>
      <c r="C30" s="48">
        <f>IF(C2="LUCRO REAL",-C16*0.0925,0)</f>
        <v>-9666.25</v>
      </c>
      <c r="D30" s="48">
        <f>-D29*9.3%</f>
        <v>-9718.5000000000018</v>
      </c>
      <c r="E30" s="48">
        <f>-E29*9.3%</f>
        <v>-9718.5000000000018</v>
      </c>
      <c r="F30" s="48">
        <f>-F29*9.3%</f>
        <v>-9718.5000000000018</v>
      </c>
      <c r="G30" s="52">
        <v>0</v>
      </c>
    </row>
    <row r="31" spans="2:11" ht="15.75" x14ac:dyDescent="0.25">
      <c r="B31" s="49" t="s">
        <v>84</v>
      </c>
      <c r="C31" s="55">
        <f>C28-C29-C30</f>
        <v>119541.25</v>
      </c>
      <c r="D31" s="55">
        <f>D28-D29-D30</f>
        <v>120222.265625</v>
      </c>
      <c r="E31" s="55">
        <f>E28-E29-E30</f>
        <v>133489.71562500001</v>
      </c>
      <c r="F31" s="55">
        <f>F28-F29-F30</f>
        <v>155218.5</v>
      </c>
      <c r="G31" s="55">
        <f>G28-G29-G30</f>
        <v>145500</v>
      </c>
    </row>
    <row r="32" spans="2:11" x14ac:dyDescent="0.25">
      <c r="B32" s="21" t="s">
        <v>95</v>
      </c>
      <c r="C32" s="48">
        <f>C17</f>
        <v>30000</v>
      </c>
      <c r="D32" s="23">
        <f>C32</f>
        <v>30000</v>
      </c>
      <c r="E32" s="23">
        <f>D32</f>
        <v>30000</v>
      </c>
      <c r="F32" s="23">
        <f>E32</f>
        <v>30000</v>
      </c>
      <c r="G32" s="23">
        <f>F32</f>
        <v>30000</v>
      </c>
    </row>
    <row r="33" spans="2:7" x14ac:dyDescent="0.25">
      <c r="B33" s="21" t="s">
        <v>86</v>
      </c>
      <c r="C33" s="22">
        <v>0</v>
      </c>
      <c r="D33" s="48">
        <f>-D32*9.3%</f>
        <v>-2790.0000000000005</v>
      </c>
      <c r="E33" s="48">
        <f>-E32*9.3%</f>
        <v>-2790.0000000000005</v>
      </c>
      <c r="F33" s="52">
        <f>E33</f>
        <v>-2790.0000000000005</v>
      </c>
      <c r="G33" s="22">
        <v>0</v>
      </c>
    </row>
    <row r="34" spans="2:7" x14ac:dyDescent="0.25">
      <c r="B34" s="21" t="s">
        <v>97</v>
      </c>
      <c r="C34" s="48">
        <f>C18</f>
        <v>1000</v>
      </c>
      <c r="D34" s="23">
        <f>C34</f>
        <v>1000</v>
      </c>
      <c r="E34" s="23">
        <f>D34</f>
        <v>1000</v>
      </c>
      <c r="F34" s="23">
        <f>E34</f>
        <v>1000</v>
      </c>
      <c r="G34" s="23">
        <f>F34</f>
        <v>1000</v>
      </c>
    </row>
    <row r="35" spans="2:7" x14ac:dyDescent="0.25">
      <c r="B35" s="21" t="s">
        <v>81</v>
      </c>
      <c r="C35" s="48">
        <f>C19</f>
        <v>55000</v>
      </c>
      <c r="D35" s="23">
        <f>C35</f>
        <v>55000</v>
      </c>
      <c r="E35" s="23">
        <f>D35</f>
        <v>55000</v>
      </c>
      <c r="F35" s="23">
        <f>E35</f>
        <v>55000</v>
      </c>
      <c r="G35" s="23">
        <f>F35</f>
        <v>55000</v>
      </c>
    </row>
    <row r="36" spans="2:7" x14ac:dyDescent="0.25">
      <c r="B36" s="21" t="s">
        <v>99</v>
      </c>
      <c r="C36" s="48">
        <f>IF(C2="SIMPLES NACIONAL",0,C35*0.26)</f>
        <v>14300</v>
      </c>
      <c r="D36" s="48">
        <f>D35*0.26</f>
        <v>14300</v>
      </c>
      <c r="E36" s="48">
        <f>E35*0.26</f>
        <v>14300</v>
      </c>
      <c r="F36" s="22" t="s">
        <v>44</v>
      </c>
      <c r="G36" s="22" t="s">
        <v>44</v>
      </c>
    </row>
    <row r="37" spans="2:7" ht="15.75" x14ac:dyDescent="0.25">
      <c r="B37" s="49" t="s">
        <v>90</v>
      </c>
      <c r="C37" s="55">
        <f>C31-C32-C33-C34-C35-C36</f>
        <v>19241.25</v>
      </c>
      <c r="D37" s="55">
        <f>D31-D32-D33-D34-D35-D36</f>
        <v>22712.265625</v>
      </c>
      <c r="E37" s="55">
        <f>E31-E32-E33-E34-E35-E36</f>
        <v>35979.715625000012</v>
      </c>
      <c r="F37" s="55">
        <f>F31-F32-F33-F34-F35</f>
        <v>72008.5</v>
      </c>
      <c r="G37" s="55">
        <f>G31-G32-G33-G34-G35</f>
        <v>59500</v>
      </c>
    </row>
    <row r="38" spans="2:7" x14ac:dyDescent="0.25">
      <c r="B38" s="50" t="s">
        <v>88</v>
      </c>
      <c r="C38" s="51">
        <v>0.32</v>
      </c>
      <c r="D38" s="54" t="s">
        <v>93</v>
      </c>
      <c r="E38" s="51">
        <f>C38</f>
        <v>0.32</v>
      </c>
      <c r="F38" s="16" t="s">
        <v>93</v>
      </c>
      <c r="G38" s="16" t="s">
        <v>93</v>
      </c>
    </row>
    <row r="39" spans="2:7" x14ac:dyDescent="0.25">
      <c r="B39" s="50" t="s">
        <v>87</v>
      </c>
      <c r="C39" s="51">
        <v>0.32</v>
      </c>
      <c r="D39" s="54" t="s">
        <v>93</v>
      </c>
      <c r="E39" s="51">
        <f>C39</f>
        <v>0.32</v>
      </c>
      <c r="F39" s="16" t="s">
        <v>93</v>
      </c>
      <c r="G39" s="16" t="s">
        <v>93</v>
      </c>
    </row>
    <row r="40" spans="2:7" x14ac:dyDescent="0.25">
      <c r="B40" s="21" t="s">
        <v>89</v>
      </c>
      <c r="C40" s="48">
        <f>IF(C2="LUCRO PRESUMIDO",((C23*C38)*0.25)+((C23*C39)*0.09),IF(C2="LUCRO REAL",IF(C37&gt;0,C37*0.34,0),0))</f>
        <v>6542.0250000000005</v>
      </c>
      <c r="D40" s="56">
        <f>IF(D37&gt;0,D37*34%,0)</f>
        <v>7722.1703125000004</v>
      </c>
      <c r="E40" s="48">
        <f>((E23*E38)*0.25)+((E23*E39)*0.09)</f>
        <v>26207.200000000001</v>
      </c>
      <c r="F40" s="16">
        <v>0</v>
      </c>
      <c r="G40" s="16">
        <v>0</v>
      </c>
    </row>
    <row r="41" spans="2:7" ht="15.75" x14ac:dyDescent="0.25">
      <c r="B41" s="49" t="s">
        <v>91</v>
      </c>
      <c r="C41" s="55">
        <f>C37-C40</f>
        <v>12699.224999999999</v>
      </c>
      <c r="D41" s="55">
        <f>D37-D40</f>
        <v>14990.0953125</v>
      </c>
      <c r="E41" s="55">
        <f>E37-E40</f>
        <v>9772.5156250000109</v>
      </c>
      <c r="F41" s="55">
        <f>F37-F40</f>
        <v>72008.5</v>
      </c>
      <c r="G41" s="55">
        <f>G37-G40</f>
        <v>59500</v>
      </c>
    </row>
  </sheetData>
  <dataValidations count="2">
    <dataValidation type="list" allowBlank="1" showInputMessage="1" showErrorMessage="1" sqref="C2" xr:uid="{04F87194-35D6-417C-8FB9-B5DFD611069E}">
      <formula1>"LUCRO REAL, LUCRO PRESUMIDO, SIMPLES NACIONAL"</formula1>
    </dataValidation>
    <dataValidation type="list" allowBlank="1" showInputMessage="1" showErrorMessage="1" sqref="C3" xr:uid="{58E21079-A8F7-4A07-A3A8-32469B7907F0}">
      <formula1>"ANEXO I - COMÉRCIO,ANEXO II - INDÚSTRIA,ANEXO III - SERVIÇOS,ANEXO IV - SERVIÇOS,ANEXO V - SERVIÇOS"</formula1>
    </dataValidation>
  </dataValidations>
  <pageMargins left="0.511811024" right="0.511811024" top="0.78740157499999996" bottom="0.78740157499999996" header="0.31496062000000002" footer="0.31496062000000002"/>
  <pageSetup paperSize="9" scale="3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77EBFA-6EF1-4D55-9AC6-BA25DBB680C4}">
          <x14:formula1>
            <xm:f>CORES!$A$7:$A$31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D504-97A2-4B17-A917-05A670B84F28}">
  <dimension ref="A4:K31"/>
  <sheetViews>
    <sheetView workbookViewId="0">
      <selection activeCell="J4" sqref="J4"/>
    </sheetView>
  </sheetViews>
  <sheetFormatPr defaultRowHeight="15" x14ac:dyDescent="0.25"/>
  <cols>
    <col min="1" max="1" width="44.7109375" style="12" customWidth="1"/>
    <col min="2" max="16384" width="9.140625" style="12"/>
  </cols>
  <sheetData>
    <row r="4" spans="1:11" x14ac:dyDescent="0.25">
      <c r="A4" s="1" t="s">
        <v>0</v>
      </c>
      <c r="B4" s="2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10" t="s">
        <v>9</v>
      </c>
      <c r="K4" s="11" t="s">
        <v>10</v>
      </c>
    </row>
    <row r="7" spans="1:11" x14ac:dyDescent="0.25">
      <c r="A7" s="38" t="s">
        <v>51</v>
      </c>
      <c r="B7" s="39">
        <v>1</v>
      </c>
      <c r="C7" s="40">
        <v>0</v>
      </c>
    </row>
    <row r="8" spans="1:11" x14ac:dyDescent="0.25">
      <c r="A8" s="41" t="s">
        <v>52</v>
      </c>
      <c r="B8" s="42">
        <v>1</v>
      </c>
      <c r="C8" s="43">
        <v>0</v>
      </c>
    </row>
    <row r="9" spans="1:11" x14ac:dyDescent="0.25">
      <c r="A9" s="38" t="s">
        <v>53</v>
      </c>
      <c r="B9" s="39">
        <v>1</v>
      </c>
      <c r="C9" s="40">
        <v>0</v>
      </c>
    </row>
    <row r="10" spans="1:11" x14ac:dyDescent="0.25">
      <c r="A10" s="41" t="s">
        <v>54</v>
      </c>
      <c r="B10" s="42">
        <v>1</v>
      </c>
      <c r="C10" s="43">
        <v>0</v>
      </c>
    </row>
    <row r="11" spans="1:11" x14ac:dyDescent="0.25">
      <c r="A11" s="38" t="s">
        <v>55</v>
      </c>
      <c r="B11" s="39">
        <v>1</v>
      </c>
      <c r="C11" s="40">
        <v>0</v>
      </c>
    </row>
    <row r="12" spans="1:11" x14ac:dyDescent="0.25">
      <c r="A12" s="41" t="s">
        <v>56</v>
      </c>
      <c r="B12" s="42">
        <v>1</v>
      </c>
      <c r="C12" s="43">
        <v>0</v>
      </c>
    </row>
    <row r="13" spans="1:11" x14ac:dyDescent="0.25">
      <c r="A13" s="38" t="s">
        <v>57</v>
      </c>
      <c r="B13" s="39">
        <v>1</v>
      </c>
      <c r="C13" s="40">
        <v>0</v>
      </c>
    </row>
    <row r="14" spans="1:11" x14ac:dyDescent="0.25">
      <c r="A14" s="41" t="s">
        <v>58</v>
      </c>
      <c r="B14" s="44">
        <v>0.8</v>
      </c>
      <c r="C14" s="45">
        <v>1.8599999999999998E-2</v>
      </c>
    </row>
    <row r="15" spans="1:11" x14ac:dyDescent="0.25">
      <c r="A15" s="38" t="s">
        <v>59</v>
      </c>
      <c r="B15" s="46">
        <v>0.7</v>
      </c>
      <c r="C15" s="47">
        <v>2.7900000000000001E-2</v>
      </c>
    </row>
    <row r="16" spans="1:11" x14ac:dyDescent="0.25">
      <c r="A16" s="41" t="s">
        <v>60</v>
      </c>
      <c r="B16" s="44">
        <v>0.6</v>
      </c>
      <c r="C16" s="45">
        <v>3.7199999999999997E-2</v>
      </c>
    </row>
    <row r="17" spans="1:3" x14ac:dyDescent="0.25">
      <c r="A17" s="38" t="s">
        <v>61</v>
      </c>
      <c r="B17" s="46">
        <v>0.6</v>
      </c>
      <c r="C17" s="47">
        <v>3.7199999999999997E-2</v>
      </c>
    </row>
    <row r="18" spans="1:3" x14ac:dyDescent="0.25">
      <c r="A18" s="41" t="s">
        <v>62</v>
      </c>
      <c r="B18" s="44">
        <v>0.6</v>
      </c>
      <c r="C18" s="45">
        <v>3.7199999999999997E-2</v>
      </c>
    </row>
    <row r="19" spans="1:3" x14ac:dyDescent="0.25">
      <c r="A19" s="38" t="s">
        <v>63</v>
      </c>
      <c r="B19" s="46">
        <v>0.6</v>
      </c>
      <c r="C19" s="47">
        <v>3.7199999999999997E-2</v>
      </c>
    </row>
    <row r="20" spans="1:3" x14ac:dyDescent="0.25">
      <c r="A20" s="41" t="s">
        <v>64</v>
      </c>
      <c r="B20" s="44">
        <v>0.6</v>
      </c>
      <c r="C20" s="45">
        <v>3.7199999999999997E-2</v>
      </c>
    </row>
    <row r="21" spans="1:3" x14ac:dyDescent="0.25">
      <c r="A21" s="38" t="s">
        <v>65</v>
      </c>
      <c r="B21" s="46">
        <v>0.6</v>
      </c>
      <c r="C21" s="47">
        <v>3.7199999999999997E-2</v>
      </c>
    </row>
    <row r="22" spans="1:3" x14ac:dyDescent="0.25">
      <c r="A22" s="41" t="s">
        <v>66</v>
      </c>
      <c r="B22" s="44">
        <v>0.6</v>
      </c>
      <c r="C22" s="45">
        <v>3.7199999999999997E-2</v>
      </c>
    </row>
    <row r="23" spans="1:3" x14ac:dyDescent="0.25">
      <c r="A23" s="38" t="s">
        <v>67</v>
      </c>
      <c r="B23" s="46">
        <v>0.6</v>
      </c>
      <c r="C23" s="47">
        <v>3.7199999999999997E-2</v>
      </c>
    </row>
    <row r="24" spans="1:3" x14ac:dyDescent="0.25">
      <c r="A24" s="41" t="s">
        <v>68</v>
      </c>
      <c r="B24" s="44">
        <v>0.5</v>
      </c>
      <c r="C24" s="45">
        <v>4.65E-2</v>
      </c>
    </row>
    <row r="25" spans="1:3" x14ac:dyDescent="0.25">
      <c r="A25" s="38" t="s">
        <v>69</v>
      </c>
      <c r="B25" s="46">
        <v>0.4</v>
      </c>
      <c r="C25" s="47">
        <v>5.5800000000000002E-2</v>
      </c>
    </row>
    <row r="26" spans="1:3" x14ac:dyDescent="0.25">
      <c r="A26" s="41" t="s">
        <v>70</v>
      </c>
      <c r="B26" s="44">
        <v>0.4</v>
      </c>
      <c r="C26" s="45">
        <v>5.5800000000000002E-2</v>
      </c>
    </row>
    <row r="27" spans="1:3" x14ac:dyDescent="0.25">
      <c r="A27" s="38" t="s">
        <v>71</v>
      </c>
      <c r="B27" s="46">
        <v>0.4</v>
      </c>
      <c r="C27" s="47">
        <v>5.5800000000000002E-2</v>
      </c>
    </row>
    <row r="28" spans="1:3" x14ac:dyDescent="0.25">
      <c r="A28" s="41" t="s">
        <v>72</v>
      </c>
      <c r="B28" s="44">
        <v>0.4</v>
      </c>
      <c r="C28" s="45">
        <v>5.5800000000000002E-2</v>
      </c>
    </row>
    <row r="29" spans="1:3" x14ac:dyDescent="0.25">
      <c r="A29" s="38" t="s">
        <v>73</v>
      </c>
      <c r="B29" s="46">
        <v>0.3</v>
      </c>
      <c r="C29" s="47">
        <v>6.5100000000000005E-2</v>
      </c>
    </row>
    <row r="30" spans="1:3" x14ac:dyDescent="0.25">
      <c r="A30" s="41" t="s">
        <v>74</v>
      </c>
      <c r="B30" s="44">
        <v>0.3</v>
      </c>
      <c r="C30" s="45">
        <v>6.5100000000000005E-2</v>
      </c>
    </row>
    <row r="31" spans="1:3" x14ac:dyDescent="0.25">
      <c r="A31" s="38" t="s">
        <v>75</v>
      </c>
      <c r="B31" s="46">
        <v>0</v>
      </c>
      <c r="C31" s="47">
        <v>9.2999999999999999E-2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D734-40DE-4952-A582-6B0513D16B7F}">
  <dimension ref="A1:X39"/>
  <sheetViews>
    <sheetView topLeftCell="F27" workbookViewId="0">
      <selection activeCell="V2" sqref="V2"/>
    </sheetView>
  </sheetViews>
  <sheetFormatPr defaultRowHeight="15" x14ac:dyDescent="0.25"/>
  <cols>
    <col min="2" max="2" width="13.28515625" bestFit="1" customWidth="1"/>
    <col min="3" max="3" width="15.28515625" bestFit="1" customWidth="1"/>
    <col min="5" max="5" width="11.5703125" bestFit="1" customWidth="1"/>
    <col min="6" max="6" width="10.5703125" style="33" bestFit="1" customWidth="1"/>
    <col min="7" max="7" width="14" style="14" bestFit="1" customWidth="1"/>
    <col min="19" max="19" width="10.28515625" style="14" bestFit="1" customWidth="1"/>
    <col min="20" max="24" width="9.140625" style="14"/>
  </cols>
  <sheetData>
    <row r="1" spans="1:24" x14ac:dyDescent="0.25">
      <c r="A1" t="s">
        <v>18</v>
      </c>
      <c r="B1" t="s">
        <v>36</v>
      </c>
      <c r="C1" t="s">
        <v>37</v>
      </c>
      <c r="D1" t="s">
        <v>38</v>
      </c>
      <c r="E1" t="s">
        <v>39</v>
      </c>
      <c r="I1" t="s">
        <v>29</v>
      </c>
      <c r="J1" t="s">
        <v>30</v>
      </c>
      <c r="K1" t="s">
        <v>33</v>
      </c>
      <c r="L1" t="s">
        <v>31</v>
      </c>
      <c r="M1" t="s">
        <v>32</v>
      </c>
      <c r="N1" t="s">
        <v>34</v>
      </c>
      <c r="O1" t="s">
        <v>16</v>
      </c>
      <c r="P1" t="s">
        <v>35</v>
      </c>
      <c r="Q1" t="s">
        <v>40</v>
      </c>
      <c r="S1" s="60" t="s">
        <v>13</v>
      </c>
      <c r="T1" s="60"/>
      <c r="U1" s="60" t="s">
        <v>12</v>
      </c>
      <c r="V1" s="60"/>
      <c r="W1" s="60" t="s">
        <v>45</v>
      </c>
      <c r="X1" s="60"/>
    </row>
    <row r="2" spans="1:24" x14ac:dyDescent="0.25">
      <c r="A2" t="s">
        <v>19</v>
      </c>
      <c r="B2" s="31">
        <v>0</v>
      </c>
      <c r="C2" s="31">
        <v>180000</v>
      </c>
      <c r="D2" s="13">
        <v>0.04</v>
      </c>
      <c r="E2" s="31">
        <v>0</v>
      </c>
      <c r="F2" s="33">
        <f>IF(DRE!$C$3="ANEXO I - COMÉRCIO",IF(DRE!$C$5="1ª FAIXA",DRE!$C$4,0),0)</f>
        <v>0</v>
      </c>
      <c r="G2" s="14" t="e">
        <f>(F2*D2-E2)/F2</f>
        <v>#DIV/0!</v>
      </c>
      <c r="I2" s="14">
        <v>5.5E-2</v>
      </c>
      <c r="J2" s="14">
        <v>3.5000000000000003E-2</v>
      </c>
      <c r="K2" s="14">
        <v>0.41499999999999998</v>
      </c>
      <c r="L2" s="14">
        <v>0.12740000000000001</v>
      </c>
      <c r="M2" s="14">
        <v>2.76E-2</v>
      </c>
      <c r="N2" s="14">
        <v>0.34</v>
      </c>
      <c r="O2" s="14">
        <v>0</v>
      </c>
      <c r="P2" s="14">
        <v>0</v>
      </c>
      <c r="Q2" s="13">
        <f>SUM(I2:P2)</f>
        <v>1</v>
      </c>
      <c r="S2" s="14">
        <f>N2+O2</f>
        <v>0.34</v>
      </c>
      <c r="T2" s="14" t="e">
        <f>S2*G2</f>
        <v>#DIV/0!</v>
      </c>
      <c r="U2" s="14">
        <f>L2+M2</f>
        <v>0.15500000000000003</v>
      </c>
      <c r="V2" s="59" t="e">
        <f>U2*G2</f>
        <v>#DIV/0!</v>
      </c>
      <c r="W2" s="14">
        <f>Q2-S2-U2</f>
        <v>0.50499999999999989</v>
      </c>
      <c r="X2" s="59" t="e">
        <f>W2*G2</f>
        <v>#DIV/0!</v>
      </c>
    </row>
    <row r="3" spans="1:24" x14ac:dyDescent="0.25">
      <c r="A3" t="s">
        <v>20</v>
      </c>
      <c r="B3" s="31">
        <f>C2+0.01</f>
        <v>180000.01</v>
      </c>
      <c r="C3" s="31">
        <f>C2*2</f>
        <v>360000</v>
      </c>
      <c r="D3" s="13">
        <v>7.2999999999999995E-2</v>
      </c>
      <c r="E3" s="31">
        <v>5940</v>
      </c>
      <c r="F3" s="33">
        <f>IF(DRE!$C$3="ANEXO I - COMÉRCIO",IF(DRE!$C$5="2ª FAIXA",DRE!$C$4,0),0)</f>
        <v>0</v>
      </c>
      <c r="G3" s="14" t="e">
        <f t="shared" ref="G3:G7" si="0">(F3*D3-E3)/F3</f>
        <v>#DIV/0!</v>
      </c>
      <c r="I3" s="14">
        <v>5.5E-2</v>
      </c>
      <c r="J3" s="14">
        <v>3.5000000000000003E-2</v>
      </c>
      <c r="K3" s="14">
        <v>0.41499999999999998</v>
      </c>
      <c r="L3" s="14">
        <v>0.12740000000000001</v>
      </c>
      <c r="M3" s="14">
        <v>2.76E-2</v>
      </c>
      <c r="N3" s="14">
        <v>0.34</v>
      </c>
      <c r="O3" s="14">
        <v>0</v>
      </c>
      <c r="P3" s="14">
        <v>0</v>
      </c>
      <c r="Q3" s="13">
        <f t="shared" ref="Q3:Q7" si="1">SUM(I3:P3)</f>
        <v>1</v>
      </c>
      <c r="S3" s="14">
        <f t="shared" ref="S3:S7" si="2">N3+O3</f>
        <v>0.34</v>
      </c>
      <c r="T3" s="14" t="e">
        <f t="shared" ref="T3:T7" si="3">S3*G3</f>
        <v>#DIV/0!</v>
      </c>
      <c r="U3" s="14">
        <f t="shared" ref="U3:U7" si="4">L3+M3</f>
        <v>0.15500000000000003</v>
      </c>
      <c r="V3" s="14" t="e">
        <f t="shared" ref="V3:V7" si="5">U3*G3</f>
        <v>#DIV/0!</v>
      </c>
      <c r="W3" s="14">
        <f t="shared" ref="W3:W7" si="6">Q3-S3-U3</f>
        <v>0.50499999999999989</v>
      </c>
      <c r="X3" s="14" t="e">
        <f t="shared" ref="X3:X7" si="7">W3*G3</f>
        <v>#DIV/0!</v>
      </c>
    </row>
    <row r="4" spans="1:24" x14ac:dyDescent="0.25">
      <c r="A4" t="s">
        <v>21</v>
      </c>
      <c r="B4" s="31">
        <f t="shared" ref="B4:B7" si="8">C3+0.01</f>
        <v>360000.01</v>
      </c>
      <c r="C4" s="31">
        <f t="shared" ref="C4:C6" si="9">C3*2</f>
        <v>720000</v>
      </c>
      <c r="D4" s="13">
        <v>9.5000000000000001E-2</v>
      </c>
      <c r="E4" s="31">
        <v>13860</v>
      </c>
      <c r="F4" s="33">
        <f>IF(DRE!$C$3="ANEXO I - COMÉRCIO",IF(DRE!$C$5="3ª FAIXA",DRE!$C$4,0),0)</f>
        <v>0</v>
      </c>
      <c r="G4" s="14" t="e">
        <f t="shared" si="0"/>
        <v>#DIV/0!</v>
      </c>
      <c r="I4" s="14">
        <v>5.5E-2</v>
      </c>
      <c r="J4" s="14">
        <v>3.5000000000000003E-2</v>
      </c>
      <c r="K4" s="14">
        <v>0.42</v>
      </c>
      <c r="L4" s="14">
        <v>0.12740000000000001</v>
      </c>
      <c r="M4" s="14">
        <v>2.76E-2</v>
      </c>
      <c r="N4" s="14">
        <v>0.33500000000000002</v>
      </c>
      <c r="O4" s="14">
        <v>0</v>
      </c>
      <c r="P4" s="14">
        <v>0</v>
      </c>
      <c r="Q4" s="13">
        <f t="shared" si="1"/>
        <v>1</v>
      </c>
      <c r="S4" s="14">
        <f t="shared" si="2"/>
        <v>0.33500000000000002</v>
      </c>
      <c r="T4" s="14" t="e">
        <f t="shared" si="3"/>
        <v>#DIV/0!</v>
      </c>
      <c r="U4" s="14">
        <f t="shared" si="4"/>
        <v>0.15500000000000003</v>
      </c>
      <c r="V4" s="14" t="e">
        <f t="shared" si="5"/>
        <v>#DIV/0!</v>
      </c>
      <c r="W4" s="14">
        <f t="shared" si="6"/>
        <v>0.51</v>
      </c>
      <c r="X4" s="14" t="e">
        <f t="shared" si="7"/>
        <v>#DIV/0!</v>
      </c>
    </row>
    <row r="5" spans="1:24" x14ac:dyDescent="0.25">
      <c r="A5" t="s">
        <v>22</v>
      </c>
      <c r="B5" s="31">
        <f t="shared" si="8"/>
        <v>720000.01</v>
      </c>
      <c r="C5" s="31">
        <v>1800000</v>
      </c>
      <c r="D5" s="13">
        <v>0.107</v>
      </c>
      <c r="E5" s="31">
        <v>22500</v>
      </c>
      <c r="F5" s="33">
        <f>IF(DRE!$C$3="ANEXO I - COMÉRCIO",IF(DRE!$C$5="4ª FAIXA",DRE!$C$4,0),0)</f>
        <v>0</v>
      </c>
      <c r="G5" s="14" t="e">
        <f t="shared" si="0"/>
        <v>#DIV/0!</v>
      </c>
      <c r="I5" s="14">
        <v>5.5E-2</v>
      </c>
      <c r="J5" s="14">
        <v>3.5000000000000003E-2</v>
      </c>
      <c r="K5" s="14">
        <v>0.42</v>
      </c>
      <c r="L5" s="14">
        <v>0.12740000000000001</v>
      </c>
      <c r="M5" s="14">
        <v>2.76E-2</v>
      </c>
      <c r="N5" s="14">
        <v>0.33500000000000002</v>
      </c>
      <c r="O5" s="14">
        <v>0</v>
      </c>
      <c r="P5" s="14">
        <v>0</v>
      </c>
      <c r="Q5" s="13">
        <f t="shared" si="1"/>
        <v>1</v>
      </c>
      <c r="S5" s="14">
        <f t="shared" si="2"/>
        <v>0.33500000000000002</v>
      </c>
      <c r="T5" s="14" t="e">
        <f t="shared" si="3"/>
        <v>#DIV/0!</v>
      </c>
      <c r="U5" s="14">
        <f t="shared" si="4"/>
        <v>0.15500000000000003</v>
      </c>
      <c r="V5" s="14" t="e">
        <f t="shared" si="5"/>
        <v>#DIV/0!</v>
      </c>
      <c r="W5" s="14">
        <f t="shared" si="6"/>
        <v>0.51</v>
      </c>
      <c r="X5" s="14" t="e">
        <f t="shared" si="7"/>
        <v>#DIV/0!</v>
      </c>
    </row>
    <row r="6" spans="1:24" x14ac:dyDescent="0.25">
      <c r="A6" t="s">
        <v>23</v>
      </c>
      <c r="B6" s="31">
        <f t="shared" si="8"/>
        <v>1800000.01</v>
      </c>
      <c r="C6" s="31">
        <f t="shared" si="9"/>
        <v>3600000</v>
      </c>
      <c r="D6" s="13">
        <v>0.14299999999999999</v>
      </c>
      <c r="E6" s="31">
        <v>87300</v>
      </c>
      <c r="F6" s="33">
        <f>IF(DRE!$C$3="ANEXO I - COMÉRCIO",IF(DRE!$C$5="5ª FAIXA",DRE!$C$4,0),0)</f>
        <v>0</v>
      </c>
      <c r="G6" s="14" t="e">
        <f t="shared" si="0"/>
        <v>#DIV/0!</v>
      </c>
      <c r="I6" s="14">
        <v>5.5E-2</v>
      </c>
      <c r="J6" s="14">
        <v>3.5000000000000003E-2</v>
      </c>
      <c r="K6" s="14">
        <v>0.42</v>
      </c>
      <c r="L6" s="14">
        <v>0.12740000000000001</v>
      </c>
      <c r="M6" s="14">
        <v>2.76E-2</v>
      </c>
      <c r="N6" s="14">
        <v>0.33500000000000002</v>
      </c>
      <c r="O6" s="14">
        <v>0</v>
      </c>
      <c r="P6" s="14">
        <v>0</v>
      </c>
      <c r="Q6" s="13">
        <f t="shared" si="1"/>
        <v>1</v>
      </c>
      <c r="S6" s="14">
        <f t="shared" si="2"/>
        <v>0.33500000000000002</v>
      </c>
      <c r="T6" s="14" t="e">
        <f t="shared" si="3"/>
        <v>#DIV/0!</v>
      </c>
      <c r="U6" s="14">
        <f t="shared" si="4"/>
        <v>0.15500000000000003</v>
      </c>
      <c r="V6" s="14" t="e">
        <f t="shared" si="5"/>
        <v>#DIV/0!</v>
      </c>
      <c r="W6" s="14">
        <f t="shared" si="6"/>
        <v>0.51</v>
      </c>
      <c r="X6" s="14" t="e">
        <f t="shared" si="7"/>
        <v>#DIV/0!</v>
      </c>
    </row>
    <row r="7" spans="1:24" x14ac:dyDescent="0.25">
      <c r="A7" t="s">
        <v>24</v>
      </c>
      <c r="B7" s="31">
        <f t="shared" si="8"/>
        <v>3600000.01</v>
      </c>
      <c r="C7" s="31">
        <v>4800000</v>
      </c>
      <c r="D7" s="13">
        <v>0.19</v>
      </c>
      <c r="E7" s="31">
        <v>378000</v>
      </c>
      <c r="F7" s="33">
        <f>IF(DRE!$C$3="ANEXO I - COMÉRCIO",IF(DRE!$C$5="6ª FAIXA",DRE!$C$4,0),0)</f>
        <v>0</v>
      </c>
      <c r="G7" s="14" t="e">
        <f t="shared" si="0"/>
        <v>#DIV/0!</v>
      </c>
      <c r="I7" s="14">
        <v>0.13500000000000001</v>
      </c>
      <c r="J7" s="14">
        <v>0.1</v>
      </c>
      <c r="K7" s="14">
        <v>0.42099999999999999</v>
      </c>
      <c r="L7" s="14">
        <v>0.28270000000000001</v>
      </c>
      <c r="M7" s="14">
        <v>6.13E-2</v>
      </c>
      <c r="N7" s="14">
        <v>0</v>
      </c>
      <c r="O7" s="14">
        <v>0</v>
      </c>
      <c r="P7" s="14">
        <v>0</v>
      </c>
      <c r="Q7" s="13">
        <f t="shared" si="1"/>
        <v>1</v>
      </c>
      <c r="S7" s="14">
        <f t="shared" si="2"/>
        <v>0</v>
      </c>
      <c r="T7" s="14" t="e">
        <f t="shared" si="3"/>
        <v>#DIV/0!</v>
      </c>
      <c r="U7" s="14">
        <f t="shared" si="4"/>
        <v>0.34400000000000003</v>
      </c>
      <c r="V7" s="14" t="e">
        <f t="shared" si="5"/>
        <v>#DIV/0!</v>
      </c>
      <c r="W7" s="14">
        <f t="shared" si="6"/>
        <v>0.65599999999999992</v>
      </c>
      <c r="X7" s="14" t="e">
        <f t="shared" si="7"/>
        <v>#DIV/0!</v>
      </c>
    </row>
    <row r="8" spans="1:24" x14ac:dyDescent="0.25">
      <c r="D8" s="13"/>
    </row>
    <row r="9" spans="1:24" x14ac:dyDescent="0.25">
      <c r="A9" t="s">
        <v>25</v>
      </c>
      <c r="B9" t="s">
        <v>36</v>
      </c>
      <c r="C9" t="s">
        <v>37</v>
      </c>
      <c r="D9" t="s">
        <v>38</v>
      </c>
      <c r="E9" t="s">
        <v>39</v>
      </c>
      <c r="I9" t="s">
        <v>29</v>
      </c>
      <c r="J9" t="s">
        <v>30</v>
      </c>
      <c r="K9" t="s">
        <v>33</v>
      </c>
      <c r="L9" t="s">
        <v>31</v>
      </c>
      <c r="M9" t="s">
        <v>32</v>
      </c>
      <c r="N9" t="s">
        <v>34</v>
      </c>
      <c r="O9" t="s">
        <v>16</v>
      </c>
      <c r="P9" t="s">
        <v>35</v>
      </c>
      <c r="Q9" t="s">
        <v>40</v>
      </c>
    </row>
    <row r="10" spans="1:24" x14ac:dyDescent="0.25">
      <c r="A10" t="s">
        <v>19</v>
      </c>
      <c r="B10" s="31">
        <v>0</v>
      </c>
      <c r="C10" s="31">
        <v>180000</v>
      </c>
      <c r="D10" s="13">
        <v>4.4999999999999998E-2</v>
      </c>
      <c r="E10" s="31">
        <v>0</v>
      </c>
      <c r="F10" s="33">
        <f>IF(DRE!$C$3="ANEXO II - INDÚSTRIA",IF(DRE!$C$5="1ª FAIXA",DRE!$C$4,0),0)</f>
        <v>0</v>
      </c>
      <c r="G10" s="14" t="e">
        <f t="shared" ref="G10:G15" si="10">(F10*D10-E10)/F10</f>
        <v>#DIV/0!</v>
      </c>
      <c r="I10" s="14">
        <v>5.5E-2</v>
      </c>
      <c r="J10" s="14">
        <v>3.5000000000000003E-2</v>
      </c>
      <c r="K10" s="14">
        <v>0.375</v>
      </c>
      <c r="L10" s="14">
        <v>0.11509999999999999</v>
      </c>
      <c r="M10" s="14">
        <v>2.4899999999999999E-2</v>
      </c>
      <c r="N10" s="14">
        <v>0.32</v>
      </c>
      <c r="O10" s="14">
        <v>0</v>
      </c>
      <c r="P10" s="14">
        <v>7.4999999999999997E-2</v>
      </c>
      <c r="Q10" s="13">
        <f>SUM(I10:P10)</f>
        <v>1</v>
      </c>
      <c r="S10" s="14">
        <f>N10+O10</f>
        <v>0.32</v>
      </c>
      <c r="T10" s="14" t="e">
        <f>S10*G10</f>
        <v>#DIV/0!</v>
      </c>
      <c r="U10" s="14">
        <f>L10+M10</f>
        <v>0.13999999999999999</v>
      </c>
      <c r="V10" s="14" t="e">
        <f>U10*G10</f>
        <v>#DIV/0!</v>
      </c>
      <c r="W10" s="14">
        <f>Q10-S10-U10</f>
        <v>0.53999999999999992</v>
      </c>
      <c r="X10" s="14" t="e">
        <f>W10*G10</f>
        <v>#DIV/0!</v>
      </c>
    </row>
    <row r="11" spans="1:24" x14ac:dyDescent="0.25">
      <c r="A11" t="s">
        <v>20</v>
      </c>
      <c r="B11" s="31">
        <f>C10+0.01</f>
        <v>180000.01</v>
      </c>
      <c r="C11" s="31">
        <f>C10*2</f>
        <v>360000</v>
      </c>
      <c r="D11" s="13">
        <v>7.8E-2</v>
      </c>
      <c r="E11" s="31">
        <v>5940</v>
      </c>
      <c r="F11" s="33">
        <f>IF(DRE!$C$3="ANEXO II - INDÚSTRIA",IF(DRE!$C$5="2ª FAIXA",DRE!$C$4,0),0)</f>
        <v>0</v>
      </c>
      <c r="G11" s="14" t="e">
        <f t="shared" si="10"/>
        <v>#DIV/0!</v>
      </c>
      <c r="I11" s="14">
        <v>5.5E-2</v>
      </c>
      <c r="J11" s="14">
        <v>3.5000000000000003E-2</v>
      </c>
      <c r="K11" s="14">
        <v>0.375</v>
      </c>
      <c r="L11" s="14">
        <v>0.11509999999999999</v>
      </c>
      <c r="M11" s="14">
        <v>2.4899999999999999E-2</v>
      </c>
      <c r="N11" s="14">
        <v>0.32</v>
      </c>
      <c r="O11" s="14">
        <v>0</v>
      </c>
      <c r="P11" s="14">
        <v>7.4999999999999997E-2</v>
      </c>
      <c r="Q11" s="13">
        <f t="shared" ref="Q11:Q15" si="11">SUM(I11:P11)</f>
        <v>1</v>
      </c>
      <c r="S11" s="14">
        <f>N11+O11</f>
        <v>0.32</v>
      </c>
      <c r="T11" s="14" t="e">
        <f t="shared" ref="T11:T15" si="12">S11*G11</f>
        <v>#DIV/0!</v>
      </c>
      <c r="U11" s="14">
        <f t="shared" ref="U11:U15" si="13">L11+M11</f>
        <v>0.13999999999999999</v>
      </c>
      <c r="V11" s="14" t="e">
        <f t="shared" ref="V11:V15" si="14">U11*G11</f>
        <v>#DIV/0!</v>
      </c>
      <c r="W11" s="14">
        <f t="shared" ref="W11:W15" si="15">Q11-S11-U11</f>
        <v>0.53999999999999992</v>
      </c>
      <c r="X11" s="14" t="e">
        <f t="shared" ref="X11:X15" si="16">W11*G11</f>
        <v>#DIV/0!</v>
      </c>
    </row>
    <row r="12" spans="1:24" x14ac:dyDescent="0.25">
      <c r="A12" t="s">
        <v>21</v>
      </c>
      <c r="B12" s="31">
        <f t="shared" ref="B12:B15" si="17">C11+0.01</f>
        <v>360000.01</v>
      </c>
      <c r="C12" s="31">
        <f t="shared" ref="C12" si="18">C11*2</f>
        <v>720000</v>
      </c>
      <c r="D12" s="13">
        <v>0.1</v>
      </c>
      <c r="E12" s="31">
        <v>13860</v>
      </c>
      <c r="F12" s="33">
        <f>IF(DRE!$C$3="ANEXO II - INDÚSTRIA",IF(DRE!$C$5="3ª FAIXA",DRE!$C$4,0),0)</f>
        <v>0</v>
      </c>
      <c r="G12" s="14" t="e">
        <f t="shared" si="10"/>
        <v>#DIV/0!</v>
      </c>
      <c r="I12" s="14">
        <v>5.5E-2</v>
      </c>
      <c r="J12" s="14">
        <v>3.5000000000000003E-2</v>
      </c>
      <c r="K12" s="14">
        <v>0.375</v>
      </c>
      <c r="L12" s="14">
        <v>0.11509999999999999</v>
      </c>
      <c r="M12" s="14">
        <v>2.4899999999999999E-2</v>
      </c>
      <c r="N12" s="14">
        <v>0.32</v>
      </c>
      <c r="O12" s="14">
        <v>0</v>
      </c>
      <c r="P12" s="14">
        <v>7.4999999999999997E-2</v>
      </c>
      <c r="Q12" s="13">
        <f t="shared" si="11"/>
        <v>1</v>
      </c>
      <c r="S12" s="14">
        <f t="shared" ref="S12:S15" si="19">N12+O12</f>
        <v>0.32</v>
      </c>
      <c r="T12" s="14" t="e">
        <f t="shared" si="12"/>
        <v>#DIV/0!</v>
      </c>
      <c r="U12" s="14">
        <f t="shared" si="13"/>
        <v>0.13999999999999999</v>
      </c>
      <c r="V12" s="14" t="e">
        <f t="shared" si="14"/>
        <v>#DIV/0!</v>
      </c>
      <c r="W12" s="14">
        <f t="shared" si="15"/>
        <v>0.53999999999999992</v>
      </c>
      <c r="X12" s="14" t="e">
        <f t="shared" si="16"/>
        <v>#DIV/0!</v>
      </c>
    </row>
    <row r="13" spans="1:24" x14ac:dyDescent="0.25">
      <c r="A13" t="s">
        <v>22</v>
      </c>
      <c r="B13" s="31">
        <f t="shared" si="17"/>
        <v>720000.01</v>
      </c>
      <c r="C13" s="31">
        <v>1800000</v>
      </c>
      <c r="D13" s="13">
        <v>0.112</v>
      </c>
      <c r="E13" s="31">
        <v>22500</v>
      </c>
      <c r="F13" s="33">
        <f>IF(DRE!$C$3="ANEXO II - INDÚSTRIA",IF(DRE!$C$5="4ª FAIXA",DRE!$C$4,0),0)</f>
        <v>0</v>
      </c>
      <c r="G13" s="14" t="e">
        <f t="shared" si="10"/>
        <v>#DIV/0!</v>
      </c>
      <c r="I13" s="14">
        <v>5.5E-2</v>
      </c>
      <c r="J13" s="14">
        <v>3.5000000000000003E-2</v>
      </c>
      <c r="K13" s="14">
        <v>0.375</v>
      </c>
      <c r="L13" s="14">
        <v>0.11509999999999999</v>
      </c>
      <c r="M13" s="14">
        <v>2.4899999999999999E-2</v>
      </c>
      <c r="N13" s="14">
        <v>0.32</v>
      </c>
      <c r="O13" s="14">
        <v>0</v>
      </c>
      <c r="P13" s="14">
        <v>7.4999999999999997E-2</v>
      </c>
      <c r="Q13" s="13">
        <f t="shared" si="11"/>
        <v>1</v>
      </c>
      <c r="S13" s="14">
        <f t="shared" si="19"/>
        <v>0.32</v>
      </c>
      <c r="T13" s="14" t="e">
        <f t="shared" si="12"/>
        <v>#DIV/0!</v>
      </c>
      <c r="U13" s="14">
        <f t="shared" si="13"/>
        <v>0.13999999999999999</v>
      </c>
      <c r="V13" s="14" t="e">
        <f t="shared" si="14"/>
        <v>#DIV/0!</v>
      </c>
      <c r="W13" s="14">
        <f t="shared" si="15"/>
        <v>0.53999999999999992</v>
      </c>
      <c r="X13" s="14" t="e">
        <f t="shared" si="16"/>
        <v>#DIV/0!</v>
      </c>
    </row>
    <row r="14" spans="1:24" x14ac:dyDescent="0.25">
      <c r="A14" t="s">
        <v>23</v>
      </c>
      <c r="B14" s="31">
        <f t="shared" si="17"/>
        <v>1800000.01</v>
      </c>
      <c r="C14" s="31">
        <f t="shared" ref="C14" si="20">C13*2</f>
        <v>3600000</v>
      </c>
      <c r="D14" s="13">
        <v>0.14699999999999999</v>
      </c>
      <c r="E14" s="31">
        <v>85500</v>
      </c>
      <c r="F14" s="33">
        <f>IF(DRE!$C$3="ANEXO II - INDÚSTRIA",IF(DRE!$C$5="5ª FAIXA",DRE!$C$4,0),0)</f>
        <v>0</v>
      </c>
      <c r="G14" s="14" t="e">
        <f t="shared" si="10"/>
        <v>#DIV/0!</v>
      </c>
      <c r="I14" s="14">
        <v>5.5E-2</v>
      </c>
      <c r="J14" s="14">
        <v>3.5000000000000003E-2</v>
      </c>
      <c r="K14" s="14">
        <v>0.375</v>
      </c>
      <c r="L14" s="14">
        <v>0.11509999999999999</v>
      </c>
      <c r="M14" s="14">
        <v>2.4899999999999999E-2</v>
      </c>
      <c r="N14" s="14">
        <v>0.32</v>
      </c>
      <c r="O14" s="14">
        <v>0</v>
      </c>
      <c r="P14" s="14">
        <v>7.4999999999999997E-2</v>
      </c>
      <c r="Q14" s="13">
        <f t="shared" si="11"/>
        <v>1</v>
      </c>
      <c r="S14" s="14">
        <f t="shared" si="19"/>
        <v>0.32</v>
      </c>
      <c r="T14" s="14" t="e">
        <f t="shared" si="12"/>
        <v>#DIV/0!</v>
      </c>
      <c r="U14" s="14">
        <f t="shared" si="13"/>
        <v>0.13999999999999999</v>
      </c>
      <c r="V14" s="14" t="e">
        <f t="shared" si="14"/>
        <v>#DIV/0!</v>
      </c>
      <c r="W14" s="14">
        <f t="shared" si="15"/>
        <v>0.53999999999999992</v>
      </c>
      <c r="X14" s="14" t="e">
        <f t="shared" si="16"/>
        <v>#DIV/0!</v>
      </c>
    </row>
    <row r="15" spans="1:24" x14ac:dyDescent="0.25">
      <c r="A15" t="s">
        <v>24</v>
      </c>
      <c r="B15" s="31">
        <f t="shared" si="17"/>
        <v>3600000.01</v>
      </c>
      <c r="C15" s="31">
        <v>4800000</v>
      </c>
      <c r="D15" s="13">
        <v>0.3</v>
      </c>
      <c r="E15" s="31">
        <v>720000</v>
      </c>
      <c r="F15" s="33">
        <f>IF(DRE!$C$3="ANEXO II - INDÚSTRIA",IF(DRE!$C$5="6ª FAIXA",DRE!$C$4,0),0)</f>
        <v>0</v>
      </c>
      <c r="G15" s="14" t="e">
        <f t="shared" si="10"/>
        <v>#DIV/0!</v>
      </c>
      <c r="I15" s="14">
        <v>8.5000000000000006E-2</v>
      </c>
      <c r="J15" s="14">
        <v>7.4999999999999997E-2</v>
      </c>
      <c r="K15" s="14">
        <v>0.23499999999999999</v>
      </c>
      <c r="L15" s="14">
        <v>0.20960000000000001</v>
      </c>
      <c r="M15" s="14">
        <v>4.5400000000000003E-2</v>
      </c>
      <c r="N15" s="14">
        <v>0</v>
      </c>
      <c r="O15" s="14">
        <v>0</v>
      </c>
      <c r="P15" s="14">
        <v>0.35</v>
      </c>
      <c r="Q15" s="13">
        <f t="shared" si="11"/>
        <v>1</v>
      </c>
      <c r="S15" s="14">
        <f t="shared" si="19"/>
        <v>0</v>
      </c>
      <c r="T15" s="14" t="e">
        <f t="shared" si="12"/>
        <v>#DIV/0!</v>
      </c>
      <c r="U15" s="14">
        <f t="shared" si="13"/>
        <v>0.255</v>
      </c>
      <c r="V15" s="14" t="e">
        <f t="shared" si="14"/>
        <v>#DIV/0!</v>
      </c>
      <c r="W15" s="14">
        <f t="shared" si="15"/>
        <v>0.745</v>
      </c>
      <c r="X15" s="14" t="e">
        <f t="shared" si="16"/>
        <v>#DIV/0!</v>
      </c>
    </row>
    <row r="16" spans="1:24" x14ac:dyDescent="0.25">
      <c r="D16" s="13"/>
    </row>
    <row r="17" spans="1:24" x14ac:dyDescent="0.25">
      <c r="A17" t="s">
        <v>26</v>
      </c>
      <c r="B17" t="s">
        <v>36</v>
      </c>
      <c r="C17" t="s">
        <v>37</v>
      </c>
      <c r="D17" t="s">
        <v>38</v>
      </c>
      <c r="E17" t="s">
        <v>39</v>
      </c>
      <c r="I17" t="s">
        <v>29</v>
      </c>
      <c r="J17" t="s">
        <v>30</v>
      </c>
      <c r="K17" t="s">
        <v>33</v>
      </c>
      <c r="L17" t="s">
        <v>31</v>
      </c>
      <c r="M17" t="s">
        <v>32</v>
      </c>
      <c r="N17" t="s">
        <v>34</v>
      </c>
      <c r="O17" t="s">
        <v>16</v>
      </c>
      <c r="P17" t="s">
        <v>35</v>
      </c>
      <c r="Q17" t="s">
        <v>40</v>
      </c>
    </row>
    <row r="18" spans="1:24" x14ac:dyDescent="0.25">
      <c r="A18" t="s">
        <v>19</v>
      </c>
      <c r="B18" s="31">
        <v>0</v>
      </c>
      <c r="C18" s="31">
        <v>180000</v>
      </c>
      <c r="D18" s="13">
        <v>0.06</v>
      </c>
      <c r="E18" s="31">
        <v>0</v>
      </c>
      <c r="F18" s="33">
        <f>IF(DRE!$C$3="ANEXO III - SERVIÇOS",IF(DRE!$C$5="1ª FAIXA",DRE!$C$4,0),0)</f>
        <v>0</v>
      </c>
      <c r="G18" s="14" t="e">
        <f t="shared" ref="G18:G23" si="21">(F18*D18-E18)/F18</f>
        <v>#DIV/0!</v>
      </c>
      <c r="I18" s="14">
        <v>0.04</v>
      </c>
      <c r="J18" s="14">
        <v>3.5000000000000003E-2</v>
      </c>
      <c r="K18" s="14">
        <v>0.434</v>
      </c>
      <c r="L18" s="14">
        <v>0.12820000000000001</v>
      </c>
      <c r="M18" s="14">
        <v>2.7799999999999998E-2</v>
      </c>
      <c r="N18" s="14">
        <v>0</v>
      </c>
      <c r="O18" s="14">
        <v>0.33500000000000002</v>
      </c>
      <c r="P18" s="14">
        <v>0</v>
      </c>
      <c r="Q18" s="13">
        <f>SUM(I18:P18)</f>
        <v>1</v>
      </c>
      <c r="S18" s="14">
        <f>N18+O18</f>
        <v>0.33500000000000002</v>
      </c>
      <c r="T18" s="14" t="e">
        <f>S18*G18</f>
        <v>#DIV/0!</v>
      </c>
      <c r="U18" s="14">
        <f>L18+M18</f>
        <v>0.156</v>
      </c>
      <c r="V18" s="14" t="e">
        <f>U18*G18</f>
        <v>#DIV/0!</v>
      </c>
      <c r="W18" s="14">
        <f>Q18-S18-U18</f>
        <v>0.50900000000000001</v>
      </c>
      <c r="X18" s="14" t="e">
        <f>W18*G18</f>
        <v>#DIV/0!</v>
      </c>
    </row>
    <row r="19" spans="1:24" x14ac:dyDescent="0.25">
      <c r="A19" t="s">
        <v>20</v>
      </c>
      <c r="B19" s="31">
        <f>C18+0.01</f>
        <v>180000.01</v>
      </c>
      <c r="C19" s="31">
        <f>C18*2</f>
        <v>360000</v>
      </c>
      <c r="D19" s="13">
        <v>0.112</v>
      </c>
      <c r="E19" s="31">
        <v>9360</v>
      </c>
      <c r="F19" s="33">
        <f>IF(DRE!$C$3="ANEXO III - SERVIÇOS",IF(DRE!$C$5="2ª FAIXA",DRE!$C$4,0),0)</f>
        <v>0</v>
      </c>
      <c r="G19" s="14" t="e">
        <f t="shared" si="21"/>
        <v>#DIV/0!</v>
      </c>
      <c r="I19" s="14">
        <v>0.04</v>
      </c>
      <c r="J19" s="14">
        <v>3.5000000000000003E-2</v>
      </c>
      <c r="K19" s="14">
        <v>0.434</v>
      </c>
      <c r="L19" s="14">
        <v>0.14050000000000001</v>
      </c>
      <c r="M19" s="14">
        <v>3.0499999999999999E-2</v>
      </c>
      <c r="N19" s="14">
        <v>0</v>
      </c>
      <c r="O19" s="14">
        <v>0.32</v>
      </c>
      <c r="P19" s="14">
        <v>0</v>
      </c>
      <c r="Q19" s="13">
        <f t="shared" ref="Q19:Q23" si="22">SUM(I19:P19)</f>
        <v>1</v>
      </c>
      <c r="S19" s="14">
        <f t="shared" ref="S19:S23" si="23">N19+O19</f>
        <v>0.32</v>
      </c>
      <c r="T19" s="14" t="e">
        <f t="shared" ref="T19:T23" si="24">S19*G19</f>
        <v>#DIV/0!</v>
      </c>
      <c r="U19" s="14">
        <f t="shared" ref="U19:U23" si="25">L19+M19</f>
        <v>0.17100000000000001</v>
      </c>
      <c r="V19" s="14" t="e">
        <f t="shared" ref="V19:V23" si="26">U19*G19</f>
        <v>#DIV/0!</v>
      </c>
      <c r="W19" s="14">
        <f t="shared" ref="W19:W23" si="27">Q19-S19-U19</f>
        <v>0.5089999999999999</v>
      </c>
      <c r="X19" s="14" t="e">
        <f t="shared" ref="X19:X23" si="28">W19*G19</f>
        <v>#DIV/0!</v>
      </c>
    </row>
    <row r="20" spans="1:24" x14ac:dyDescent="0.25">
      <c r="A20" t="s">
        <v>21</v>
      </c>
      <c r="B20" s="31">
        <f t="shared" ref="B20:B23" si="29">C19+0.01</f>
        <v>360000.01</v>
      </c>
      <c r="C20" s="31">
        <f t="shared" ref="C20" si="30">C19*2</f>
        <v>720000</v>
      </c>
      <c r="D20" s="13">
        <v>0.13500000000000001</v>
      </c>
      <c r="E20" s="31">
        <v>17640</v>
      </c>
      <c r="F20" s="33">
        <f>IF(DRE!$C$3="ANEXO III - SERVIÇOS",IF(DRE!$C$5="3ª FAIXA",DRE!$C$4,0),0)</f>
        <v>0</v>
      </c>
      <c r="G20" s="14" t="e">
        <f t="shared" si="21"/>
        <v>#DIV/0!</v>
      </c>
      <c r="I20" s="14">
        <v>0.04</v>
      </c>
      <c r="J20" s="14">
        <v>3.5000000000000003E-2</v>
      </c>
      <c r="K20" s="14">
        <v>0.434</v>
      </c>
      <c r="L20" s="14">
        <v>0.13639999999999999</v>
      </c>
      <c r="M20" s="14">
        <v>2.9600000000000001E-2</v>
      </c>
      <c r="N20" s="14">
        <v>0</v>
      </c>
      <c r="O20" s="14">
        <v>0.32500000000000001</v>
      </c>
      <c r="P20" s="14">
        <v>0</v>
      </c>
      <c r="Q20" s="13">
        <f t="shared" si="22"/>
        <v>1</v>
      </c>
      <c r="S20" s="14">
        <f t="shared" si="23"/>
        <v>0.32500000000000001</v>
      </c>
      <c r="T20" s="14" t="e">
        <f t="shared" si="24"/>
        <v>#DIV/0!</v>
      </c>
      <c r="U20" s="14">
        <f t="shared" si="25"/>
        <v>0.16599999999999998</v>
      </c>
      <c r="V20" s="14" t="e">
        <f t="shared" si="26"/>
        <v>#DIV/0!</v>
      </c>
      <c r="W20" s="14">
        <f t="shared" si="27"/>
        <v>0.50900000000000012</v>
      </c>
      <c r="X20" s="14" t="e">
        <f t="shared" si="28"/>
        <v>#DIV/0!</v>
      </c>
    </row>
    <row r="21" spans="1:24" x14ac:dyDescent="0.25">
      <c r="A21" t="s">
        <v>22</v>
      </c>
      <c r="B21" s="31">
        <f t="shared" si="29"/>
        <v>720000.01</v>
      </c>
      <c r="C21" s="31">
        <v>1800000</v>
      </c>
      <c r="D21" s="13">
        <v>0.16</v>
      </c>
      <c r="E21" s="31">
        <v>35640</v>
      </c>
      <c r="F21" s="33">
        <f>IF(DRE!$C$3="ANEXO III - SERVIÇOS",IF(DRE!$C$5="4ª FAIXA",DRE!$C$4,0),0)</f>
        <v>0</v>
      </c>
      <c r="G21" s="14" t="e">
        <f t="shared" si="21"/>
        <v>#DIV/0!</v>
      </c>
      <c r="I21" s="14">
        <v>0.04</v>
      </c>
      <c r="J21" s="14">
        <v>3.5000000000000003E-2</v>
      </c>
      <c r="K21" s="14">
        <v>0.434</v>
      </c>
      <c r="L21" s="14">
        <v>0.13639999999999999</v>
      </c>
      <c r="M21" s="14">
        <v>2.9600000000000001E-2</v>
      </c>
      <c r="N21" s="14">
        <v>0</v>
      </c>
      <c r="O21" s="14">
        <v>0.32500000000000001</v>
      </c>
      <c r="P21" s="14">
        <v>0</v>
      </c>
      <c r="Q21" s="13">
        <f t="shared" si="22"/>
        <v>1</v>
      </c>
      <c r="S21" s="14">
        <f t="shared" si="23"/>
        <v>0.32500000000000001</v>
      </c>
      <c r="T21" s="14" t="e">
        <f t="shared" si="24"/>
        <v>#DIV/0!</v>
      </c>
      <c r="U21" s="14">
        <f t="shared" si="25"/>
        <v>0.16599999999999998</v>
      </c>
      <c r="V21" s="14" t="e">
        <f t="shared" si="26"/>
        <v>#DIV/0!</v>
      </c>
      <c r="W21" s="14">
        <f t="shared" si="27"/>
        <v>0.50900000000000012</v>
      </c>
      <c r="X21" s="14" t="e">
        <f t="shared" si="28"/>
        <v>#DIV/0!</v>
      </c>
    </row>
    <row r="22" spans="1:24" x14ac:dyDescent="0.25">
      <c r="A22" t="s">
        <v>23</v>
      </c>
      <c r="B22" s="31">
        <f t="shared" si="29"/>
        <v>1800000.01</v>
      </c>
      <c r="C22" s="31">
        <f t="shared" ref="C22" si="31">C21*2</f>
        <v>3600000</v>
      </c>
      <c r="D22" s="13">
        <v>0.21</v>
      </c>
      <c r="E22" s="31">
        <v>125640</v>
      </c>
      <c r="F22" s="33">
        <f>IF(DRE!$C$3="ANEXO III - SERVIÇOS",IF(DRE!$C$5="5ª FAIXA",DRE!$C$4,0),0)</f>
        <v>0</v>
      </c>
      <c r="G22" s="14" t="e">
        <f t="shared" si="21"/>
        <v>#DIV/0!</v>
      </c>
      <c r="I22" s="14">
        <v>0.04</v>
      </c>
      <c r="J22" s="14">
        <v>3.5000000000000003E-2</v>
      </c>
      <c r="K22" s="14">
        <v>0.434</v>
      </c>
      <c r="L22" s="14">
        <v>0.12820000000000001</v>
      </c>
      <c r="M22" s="14">
        <v>2.7799999999999998E-2</v>
      </c>
      <c r="N22" s="14">
        <v>0</v>
      </c>
      <c r="O22" s="14">
        <v>0.33500000000000002</v>
      </c>
      <c r="P22" s="14">
        <v>0</v>
      </c>
      <c r="Q22" s="13">
        <f t="shared" si="22"/>
        <v>1</v>
      </c>
      <c r="S22" s="14">
        <f t="shared" si="23"/>
        <v>0.33500000000000002</v>
      </c>
      <c r="T22" s="14" t="e">
        <f t="shared" si="24"/>
        <v>#DIV/0!</v>
      </c>
      <c r="U22" s="14">
        <f t="shared" si="25"/>
        <v>0.156</v>
      </c>
      <c r="V22" s="14" t="e">
        <f t="shared" si="26"/>
        <v>#DIV/0!</v>
      </c>
      <c r="W22" s="14">
        <f t="shared" si="27"/>
        <v>0.50900000000000001</v>
      </c>
      <c r="X22" s="14" t="e">
        <f t="shared" si="28"/>
        <v>#DIV/0!</v>
      </c>
    </row>
    <row r="23" spans="1:24" x14ac:dyDescent="0.25">
      <c r="A23" t="s">
        <v>24</v>
      </c>
      <c r="B23" s="31">
        <f t="shared" si="29"/>
        <v>3600000.01</v>
      </c>
      <c r="C23" s="31">
        <v>4800000</v>
      </c>
      <c r="D23" s="13">
        <v>0.33</v>
      </c>
      <c r="E23" s="31">
        <v>648000</v>
      </c>
      <c r="F23" s="33">
        <f>IF(DRE!$C$3="ANEXO III - SERVIÇOS",IF(DRE!$C$5="6ª FAIXA",DRE!$C$4,0),0)</f>
        <v>0</v>
      </c>
      <c r="G23" s="14" t="e">
        <f t="shared" si="21"/>
        <v>#DIV/0!</v>
      </c>
      <c r="I23" s="14">
        <v>0.35</v>
      </c>
      <c r="J23" s="14">
        <v>0.15</v>
      </c>
      <c r="K23" s="14">
        <v>0.30499999999999999</v>
      </c>
      <c r="L23" s="14">
        <v>0.1603</v>
      </c>
      <c r="M23" s="14">
        <v>3.4700000000000002E-2</v>
      </c>
      <c r="N23" s="14">
        <v>0</v>
      </c>
      <c r="O23" s="14">
        <v>0</v>
      </c>
      <c r="P23" s="14">
        <v>0</v>
      </c>
      <c r="Q23" s="13">
        <f t="shared" si="22"/>
        <v>0.99999999999999989</v>
      </c>
      <c r="S23" s="14">
        <f t="shared" si="23"/>
        <v>0</v>
      </c>
      <c r="T23" s="14" t="e">
        <f t="shared" si="24"/>
        <v>#DIV/0!</v>
      </c>
      <c r="U23" s="14">
        <f t="shared" si="25"/>
        <v>0.19500000000000001</v>
      </c>
      <c r="V23" s="14" t="e">
        <f t="shared" si="26"/>
        <v>#DIV/0!</v>
      </c>
      <c r="W23" s="14">
        <f t="shared" si="27"/>
        <v>0.80499999999999994</v>
      </c>
      <c r="X23" s="14" t="e">
        <f t="shared" si="28"/>
        <v>#DIV/0!</v>
      </c>
    </row>
    <row r="25" spans="1:24" x14ac:dyDescent="0.25">
      <c r="A25" t="s">
        <v>27</v>
      </c>
      <c r="B25" t="s">
        <v>36</v>
      </c>
      <c r="C25" t="s">
        <v>37</v>
      </c>
      <c r="D25" t="s">
        <v>38</v>
      </c>
      <c r="E25" t="s">
        <v>39</v>
      </c>
      <c r="I25" t="s">
        <v>29</v>
      </c>
      <c r="J25" t="s">
        <v>30</v>
      </c>
      <c r="K25" t="s">
        <v>33</v>
      </c>
      <c r="L25" t="s">
        <v>31</v>
      </c>
      <c r="M25" t="s">
        <v>32</v>
      </c>
      <c r="N25" t="s">
        <v>34</v>
      </c>
      <c r="O25" t="s">
        <v>16</v>
      </c>
      <c r="P25" t="s">
        <v>35</v>
      </c>
      <c r="Q25" t="s">
        <v>40</v>
      </c>
    </row>
    <row r="26" spans="1:24" x14ac:dyDescent="0.25">
      <c r="A26" t="s">
        <v>19</v>
      </c>
      <c r="B26" s="31">
        <v>0</v>
      </c>
      <c r="C26" s="31">
        <v>180000</v>
      </c>
      <c r="D26" s="13">
        <v>4.4999999999999998E-2</v>
      </c>
      <c r="E26" s="31">
        <v>0</v>
      </c>
      <c r="F26" s="33">
        <f>IF(DRE!$C$3="ANEXO IV - SERVIÇOS",IF(DRE!$C$5="1ª FAIXA",DRE!$C$4,0),0)</f>
        <v>0</v>
      </c>
      <c r="G26" s="14" t="e">
        <f t="shared" ref="G26:G31" si="32">(F26*D26-E26)/F26</f>
        <v>#DIV/0!</v>
      </c>
      <c r="I26" s="14">
        <v>0.188</v>
      </c>
      <c r="J26" s="14">
        <v>0.152</v>
      </c>
      <c r="K26" s="14">
        <v>0</v>
      </c>
      <c r="L26" s="14">
        <v>0.1767</v>
      </c>
      <c r="M26" s="14">
        <v>3.8300000000000001E-2</v>
      </c>
      <c r="N26" s="14">
        <v>0</v>
      </c>
      <c r="O26" s="14">
        <v>0.44500000000000001</v>
      </c>
      <c r="P26" s="14">
        <v>0</v>
      </c>
      <c r="Q26" s="13">
        <f>SUM(I26:P26)</f>
        <v>1</v>
      </c>
      <c r="S26" s="14">
        <f>N26+O26</f>
        <v>0.44500000000000001</v>
      </c>
      <c r="T26" s="14" t="e">
        <f>S26*G26</f>
        <v>#DIV/0!</v>
      </c>
      <c r="U26" s="14">
        <f>L26+M26</f>
        <v>0.215</v>
      </c>
      <c r="V26" s="14" t="e">
        <f>U26*G26</f>
        <v>#DIV/0!</v>
      </c>
      <c r="W26" s="14">
        <f>Q26-S26-U26</f>
        <v>0.33999999999999997</v>
      </c>
      <c r="X26" s="14" t="e">
        <f>W26*G26</f>
        <v>#DIV/0!</v>
      </c>
    </row>
    <row r="27" spans="1:24" x14ac:dyDescent="0.25">
      <c r="A27" t="s">
        <v>20</v>
      </c>
      <c r="B27" s="31">
        <f>C26+0.01</f>
        <v>180000.01</v>
      </c>
      <c r="C27" s="31">
        <f>C26*2</f>
        <v>360000</v>
      </c>
      <c r="D27" s="13">
        <v>0.09</v>
      </c>
      <c r="E27" s="31">
        <v>8100</v>
      </c>
      <c r="F27" s="33">
        <f>IF(DRE!$C$3="ANEXO IV - SERVIÇOS",IF(DRE!$C$5="2ª FAIXA",DRE!$C$4,0),0)</f>
        <v>0</v>
      </c>
      <c r="G27" s="14" t="e">
        <f t="shared" si="32"/>
        <v>#DIV/0!</v>
      </c>
      <c r="I27" s="14">
        <v>0.19800000000000001</v>
      </c>
      <c r="J27" s="14">
        <v>0.152</v>
      </c>
      <c r="K27" s="14">
        <v>0</v>
      </c>
      <c r="L27" s="14">
        <v>0.20549999999999999</v>
      </c>
      <c r="M27" s="14">
        <v>4.4499999999999998E-2</v>
      </c>
      <c r="N27" s="14">
        <v>0</v>
      </c>
      <c r="O27" s="14">
        <v>0.4</v>
      </c>
      <c r="P27" s="14">
        <v>0</v>
      </c>
      <c r="Q27" s="13">
        <f t="shared" ref="Q27:Q31" si="33">SUM(I27:P27)</f>
        <v>1</v>
      </c>
      <c r="S27" s="14">
        <f t="shared" ref="S27:S31" si="34">N27+O27</f>
        <v>0.4</v>
      </c>
      <c r="T27" s="14" t="e">
        <f t="shared" ref="T27:T31" si="35">S27*G27</f>
        <v>#DIV/0!</v>
      </c>
      <c r="U27" s="14">
        <f t="shared" ref="U27:U31" si="36">L27+M27</f>
        <v>0.25</v>
      </c>
      <c r="V27" s="14" t="e">
        <f t="shared" ref="V27:V31" si="37">U27*G27</f>
        <v>#DIV/0!</v>
      </c>
      <c r="W27" s="14">
        <f t="shared" ref="W27:W31" si="38">Q27-S27-U27</f>
        <v>0.35</v>
      </c>
      <c r="X27" s="14" t="e">
        <f t="shared" ref="X27:X31" si="39">W27*G27</f>
        <v>#DIV/0!</v>
      </c>
    </row>
    <row r="28" spans="1:24" x14ac:dyDescent="0.25">
      <c r="A28" t="s">
        <v>21</v>
      </c>
      <c r="B28" s="31">
        <f t="shared" ref="B28:B31" si="40">C27+0.01</f>
        <v>360000.01</v>
      </c>
      <c r="C28" s="31">
        <f t="shared" ref="C28" si="41">C27*2</f>
        <v>720000</v>
      </c>
      <c r="D28" s="13">
        <v>0.10199999999999999</v>
      </c>
      <c r="E28" s="31">
        <v>12420</v>
      </c>
      <c r="F28" s="33">
        <f>IF(DRE!$C$3="ANEXO IV - SERVIÇOS",IF(DRE!$C$5="3ª FAIXA",DRE!$C$4,0),0)</f>
        <v>0</v>
      </c>
      <c r="G28" s="14" t="e">
        <f t="shared" si="32"/>
        <v>#DIV/0!</v>
      </c>
      <c r="I28" s="14">
        <v>0.20799999999999999</v>
      </c>
      <c r="J28" s="14">
        <v>0.152</v>
      </c>
      <c r="K28" s="14">
        <v>0</v>
      </c>
      <c r="L28" s="14">
        <v>0.1973</v>
      </c>
      <c r="M28" s="14">
        <v>4.2700000000000002E-2</v>
      </c>
      <c r="N28" s="14">
        <v>0</v>
      </c>
      <c r="O28" s="14">
        <v>0.4</v>
      </c>
      <c r="P28" s="14">
        <v>0</v>
      </c>
      <c r="Q28" s="13">
        <f t="shared" si="33"/>
        <v>1</v>
      </c>
      <c r="S28" s="14">
        <f t="shared" si="34"/>
        <v>0.4</v>
      </c>
      <c r="T28" s="14" t="e">
        <f t="shared" si="35"/>
        <v>#DIV/0!</v>
      </c>
      <c r="U28" s="14">
        <f t="shared" si="36"/>
        <v>0.24</v>
      </c>
      <c r="V28" s="14" t="e">
        <f t="shared" si="37"/>
        <v>#DIV/0!</v>
      </c>
      <c r="W28" s="14">
        <f t="shared" si="38"/>
        <v>0.36</v>
      </c>
      <c r="X28" s="14" t="e">
        <f t="shared" si="39"/>
        <v>#DIV/0!</v>
      </c>
    </row>
    <row r="29" spans="1:24" x14ac:dyDescent="0.25">
      <c r="A29" t="s">
        <v>22</v>
      </c>
      <c r="B29" s="31">
        <f t="shared" si="40"/>
        <v>720000.01</v>
      </c>
      <c r="C29" s="31">
        <v>1800000</v>
      </c>
      <c r="D29" s="13">
        <v>0.14000000000000001</v>
      </c>
      <c r="E29" s="31">
        <v>39780</v>
      </c>
      <c r="F29" s="33">
        <f>IF(DRE!$C$3="ANEXO IV - SERVIÇOS",IF(DRE!$C$5="4ª FAIXA",DRE!$C$4,0),0)</f>
        <v>0</v>
      </c>
      <c r="G29" s="14" t="e">
        <f t="shared" si="32"/>
        <v>#DIV/0!</v>
      </c>
      <c r="I29" s="14">
        <v>0.17799999999999999</v>
      </c>
      <c r="J29" s="14">
        <v>0.192</v>
      </c>
      <c r="K29" s="14">
        <v>0</v>
      </c>
      <c r="L29" s="14">
        <v>0.189</v>
      </c>
      <c r="M29" s="14">
        <v>4.1000000000000002E-2</v>
      </c>
      <c r="N29" s="14">
        <v>0</v>
      </c>
      <c r="O29" s="14">
        <v>0.4</v>
      </c>
      <c r="P29" s="14">
        <v>0</v>
      </c>
      <c r="Q29" s="13">
        <f t="shared" si="33"/>
        <v>1</v>
      </c>
      <c r="S29" s="14">
        <f t="shared" si="34"/>
        <v>0.4</v>
      </c>
      <c r="T29" s="14" t="e">
        <f t="shared" si="35"/>
        <v>#DIV/0!</v>
      </c>
      <c r="U29" s="14">
        <f t="shared" si="36"/>
        <v>0.23</v>
      </c>
      <c r="V29" s="14" t="e">
        <f t="shared" si="37"/>
        <v>#DIV/0!</v>
      </c>
      <c r="W29" s="14">
        <f t="shared" si="38"/>
        <v>0.37</v>
      </c>
      <c r="X29" s="14" t="e">
        <f t="shared" si="39"/>
        <v>#DIV/0!</v>
      </c>
    </row>
    <row r="30" spans="1:24" x14ac:dyDescent="0.25">
      <c r="A30" t="s">
        <v>23</v>
      </c>
      <c r="B30" s="31">
        <f t="shared" si="40"/>
        <v>1800000.01</v>
      </c>
      <c r="C30" s="31">
        <f t="shared" ref="C30" si="42">C29*2</f>
        <v>3600000</v>
      </c>
      <c r="D30" s="13">
        <v>0.22</v>
      </c>
      <c r="E30" s="31">
        <v>183780</v>
      </c>
      <c r="F30" s="33">
        <f>IF(DRE!$C$3="ANEXO IV - SERVIÇOS",IF(DRE!$C$5="5ª FAIXA",DRE!$C$4,0),0)</f>
        <v>0</v>
      </c>
      <c r="G30" s="14" t="e">
        <f t="shared" si="32"/>
        <v>#DIV/0!</v>
      </c>
      <c r="I30" s="14">
        <v>0.188</v>
      </c>
      <c r="J30" s="14">
        <v>0.192</v>
      </c>
      <c r="K30" s="14">
        <v>0</v>
      </c>
      <c r="L30" s="14">
        <v>0.18079999999999999</v>
      </c>
      <c r="M30" s="14">
        <v>3.9199999999999999E-2</v>
      </c>
      <c r="N30" s="14">
        <v>0</v>
      </c>
      <c r="O30" s="14">
        <v>0.4</v>
      </c>
      <c r="P30" s="14">
        <v>0</v>
      </c>
      <c r="Q30" s="13">
        <f t="shared" si="33"/>
        <v>1</v>
      </c>
      <c r="S30" s="14">
        <f t="shared" si="34"/>
        <v>0.4</v>
      </c>
      <c r="T30" s="14" t="e">
        <f t="shared" si="35"/>
        <v>#DIV/0!</v>
      </c>
      <c r="U30" s="14">
        <f t="shared" si="36"/>
        <v>0.21999999999999997</v>
      </c>
      <c r="V30" s="14" t="e">
        <f t="shared" si="37"/>
        <v>#DIV/0!</v>
      </c>
      <c r="W30" s="14">
        <f t="shared" si="38"/>
        <v>0.38</v>
      </c>
      <c r="X30" s="14" t="e">
        <f t="shared" si="39"/>
        <v>#DIV/0!</v>
      </c>
    </row>
    <row r="31" spans="1:24" x14ac:dyDescent="0.25">
      <c r="A31" t="s">
        <v>24</v>
      </c>
      <c r="B31" s="31">
        <f t="shared" si="40"/>
        <v>3600000.01</v>
      </c>
      <c r="C31" s="31">
        <v>4800000</v>
      </c>
      <c r="D31" s="13">
        <v>0.33</v>
      </c>
      <c r="E31" s="31">
        <v>828000</v>
      </c>
      <c r="F31" s="33">
        <f>IF(DRE!$C$3="ANEXO IV - SERVIÇOS",IF(DRE!$C$5="6ª FAIXA",DRE!$C$4,0),0)</f>
        <v>0</v>
      </c>
      <c r="G31" s="14" t="e">
        <f t="shared" si="32"/>
        <v>#DIV/0!</v>
      </c>
      <c r="I31" s="14">
        <v>0.53500000000000003</v>
      </c>
      <c r="J31" s="14">
        <v>0.215</v>
      </c>
      <c r="K31" s="14">
        <v>0</v>
      </c>
      <c r="L31" s="14">
        <v>0.20549999999999999</v>
      </c>
      <c r="M31" s="14">
        <v>4.4499999999999998E-2</v>
      </c>
      <c r="N31" s="14">
        <v>0</v>
      </c>
      <c r="O31" s="14">
        <v>0</v>
      </c>
      <c r="P31" s="14">
        <v>0</v>
      </c>
      <c r="Q31" s="13">
        <f t="shared" si="33"/>
        <v>1</v>
      </c>
      <c r="S31" s="14">
        <f t="shared" si="34"/>
        <v>0</v>
      </c>
      <c r="T31" s="14" t="e">
        <f t="shared" si="35"/>
        <v>#DIV/0!</v>
      </c>
      <c r="U31" s="14">
        <f t="shared" si="36"/>
        <v>0.25</v>
      </c>
      <c r="V31" s="14" t="e">
        <f t="shared" si="37"/>
        <v>#DIV/0!</v>
      </c>
      <c r="W31" s="14">
        <f t="shared" si="38"/>
        <v>0.75</v>
      </c>
      <c r="X31" s="14" t="e">
        <f t="shared" si="39"/>
        <v>#DIV/0!</v>
      </c>
    </row>
    <row r="33" spans="1:24" x14ac:dyDescent="0.25">
      <c r="A33" t="s">
        <v>28</v>
      </c>
      <c r="B33" t="s">
        <v>36</v>
      </c>
      <c r="C33" t="s">
        <v>37</v>
      </c>
      <c r="D33" t="s">
        <v>38</v>
      </c>
      <c r="E33" t="s">
        <v>39</v>
      </c>
      <c r="I33" t="s">
        <v>29</v>
      </c>
      <c r="J33" t="s">
        <v>30</v>
      </c>
      <c r="K33" t="s">
        <v>33</v>
      </c>
      <c r="L33" t="s">
        <v>31</v>
      </c>
      <c r="M33" t="s">
        <v>32</v>
      </c>
      <c r="N33" t="s">
        <v>34</v>
      </c>
      <c r="O33" t="s">
        <v>16</v>
      </c>
      <c r="P33" t="s">
        <v>35</v>
      </c>
      <c r="Q33" t="s">
        <v>40</v>
      </c>
    </row>
    <row r="34" spans="1:24" x14ac:dyDescent="0.25">
      <c r="A34" t="s">
        <v>19</v>
      </c>
      <c r="B34" s="31">
        <v>0</v>
      </c>
      <c r="C34" s="31">
        <v>180000</v>
      </c>
      <c r="D34" s="13">
        <v>0.155</v>
      </c>
      <c r="E34" s="31">
        <v>0</v>
      </c>
      <c r="F34" s="33">
        <f>IF(DRE!$C$3="ANEXO V - SERVIÇOS",IF(DRE!$C$5="1ª FAIXA",DRE!$C$4,0),0)</f>
        <v>0</v>
      </c>
      <c r="G34" s="14" t="e">
        <f t="shared" ref="G34:G39" si="43">(F34*D34-E34)/F34</f>
        <v>#DIV/0!</v>
      </c>
      <c r="I34" s="14">
        <v>0.25</v>
      </c>
      <c r="J34" s="14">
        <v>0.15</v>
      </c>
      <c r="K34" s="14">
        <v>0.28849999999999998</v>
      </c>
      <c r="L34" s="14">
        <v>0.14099999999999999</v>
      </c>
      <c r="M34" s="14">
        <v>3.0499999999999999E-2</v>
      </c>
      <c r="N34" s="14">
        <v>0</v>
      </c>
      <c r="O34" s="14">
        <v>0.14000000000000001</v>
      </c>
      <c r="P34" s="14">
        <v>0</v>
      </c>
      <c r="Q34" s="13">
        <f>SUM(I34:P34)</f>
        <v>1</v>
      </c>
      <c r="S34" s="14">
        <f>N34+O34</f>
        <v>0.14000000000000001</v>
      </c>
      <c r="T34" s="14" t="e">
        <f>S34*G34</f>
        <v>#DIV/0!</v>
      </c>
      <c r="U34" s="14">
        <f>L34+M34</f>
        <v>0.17149999999999999</v>
      </c>
      <c r="V34" s="14" t="e">
        <f>U34*G34</f>
        <v>#DIV/0!</v>
      </c>
      <c r="W34" s="14">
        <f>Q34-S34-U34</f>
        <v>0.6885</v>
      </c>
      <c r="X34" s="14" t="e">
        <f>W34*G34</f>
        <v>#DIV/0!</v>
      </c>
    </row>
    <row r="35" spans="1:24" x14ac:dyDescent="0.25">
      <c r="A35" t="s">
        <v>20</v>
      </c>
      <c r="B35" s="31">
        <f>C34+0.01</f>
        <v>180000.01</v>
      </c>
      <c r="C35" s="31">
        <f>C34*2</f>
        <v>360000</v>
      </c>
      <c r="D35" s="13">
        <v>0.18</v>
      </c>
      <c r="E35" s="31">
        <v>4500</v>
      </c>
      <c r="F35" s="33">
        <f>IF(DRE!$C$3="ANEXO V - SERVIÇOS",IF(DRE!$C$5="2ª FAIXA",DRE!$C$4,0),0)</f>
        <v>0</v>
      </c>
      <c r="G35" s="14" t="e">
        <f t="shared" si="43"/>
        <v>#DIV/0!</v>
      </c>
      <c r="I35" s="14">
        <v>0.23</v>
      </c>
      <c r="J35" s="14">
        <v>0.15</v>
      </c>
      <c r="K35" s="14">
        <v>0.27850000000000003</v>
      </c>
      <c r="L35" s="14">
        <v>0.14099999999999999</v>
      </c>
      <c r="M35" s="14">
        <v>3.0499999999999999E-2</v>
      </c>
      <c r="N35" s="14">
        <v>0</v>
      </c>
      <c r="O35" s="14">
        <v>0.17</v>
      </c>
      <c r="P35" s="14">
        <v>0</v>
      </c>
      <c r="Q35" s="13">
        <f t="shared" ref="Q35:Q39" si="44">SUM(I35:P35)</f>
        <v>1</v>
      </c>
      <c r="S35" s="14">
        <f t="shared" ref="S35:S39" si="45">N35+O35</f>
        <v>0.17</v>
      </c>
      <c r="T35" s="14" t="e">
        <f t="shared" ref="T35:T39" si="46">S35*G35</f>
        <v>#DIV/0!</v>
      </c>
      <c r="U35" s="14">
        <f t="shared" ref="U35:U39" si="47">L35+M35</f>
        <v>0.17149999999999999</v>
      </c>
      <c r="V35" s="14" t="e">
        <f t="shared" ref="V35:V39" si="48">U35*G35</f>
        <v>#DIV/0!</v>
      </c>
      <c r="W35" s="14">
        <f t="shared" ref="W35:W39" si="49">Q35-S35-U35</f>
        <v>0.65849999999999997</v>
      </c>
      <c r="X35" s="14" t="e">
        <f t="shared" ref="X35:X39" si="50">W35*G35</f>
        <v>#DIV/0!</v>
      </c>
    </row>
    <row r="36" spans="1:24" x14ac:dyDescent="0.25">
      <c r="A36" t="s">
        <v>21</v>
      </c>
      <c r="B36" s="31">
        <f t="shared" ref="B36:B39" si="51">C35+0.01</f>
        <v>360000.01</v>
      </c>
      <c r="C36" s="31">
        <f t="shared" ref="C36" si="52">C35*2</f>
        <v>720000</v>
      </c>
      <c r="D36" s="13">
        <v>0.19500000000000001</v>
      </c>
      <c r="E36" s="31">
        <v>9900</v>
      </c>
      <c r="F36" s="33">
        <f>IF(DRE!$C$3="ANEXO V - SERVIÇOS",IF(DRE!$C$5="3ª FAIXA",DRE!$C$4,0),0)</f>
        <v>0</v>
      </c>
      <c r="G36" s="14" t="e">
        <f t="shared" si="43"/>
        <v>#DIV/0!</v>
      </c>
      <c r="I36" s="14">
        <v>0.24</v>
      </c>
      <c r="J36" s="14">
        <v>0.15</v>
      </c>
      <c r="K36" s="14">
        <v>0.23849999999999999</v>
      </c>
      <c r="L36" s="14">
        <v>0.1492</v>
      </c>
      <c r="M36" s="14">
        <v>3.2300000000000002E-2</v>
      </c>
      <c r="N36" s="14">
        <v>0</v>
      </c>
      <c r="O36" s="14">
        <v>0.19</v>
      </c>
      <c r="P36" s="14">
        <v>0</v>
      </c>
      <c r="Q36" s="13">
        <f t="shared" si="44"/>
        <v>1</v>
      </c>
      <c r="S36" s="14">
        <f t="shared" si="45"/>
        <v>0.19</v>
      </c>
      <c r="T36" s="14" t="e">
        <f t="shared" si="46"/>
        <v>#DIV/0!</v>
      </c>
      <c r="U36" s="14">
        <f t="shared" si="47"/>
        <v>0.18149999999999999</v>
      </c>
      <c r="V36" s="14" t="e">
        <f t="shared" si="48"/>
        <v>#DIV/0!</v>
      </c>
      <c r="W36" s="14">
        <f t="shared" si="49"/>
        <v>0.62850000000000006</v>
      </c>
      <c r="X36" s="14" t="e">
        <f t="shared" si="50"/>
        <v>#DIV/0!</v>
      </c>
    </row>
    <row r="37" spans="1:24" x14ac:dyDescent="0.25">
      <c r="A37" t="s">
        <v>22</v>
      </c>
      <c r="B37" s="31">
        <f t="shared" si="51"/>
        <v>720000.01</v>
      </c>
      <c r="C37" s="31">
        <v>1800000</v>
      </c>
      <c r="D37" s="13">
        <v>0.20499999999999999</v>
      </c>
      <c r="E37" s="31">
        <v>17100</v>
      </c>
      <c r="F37" s="33">
        <f>IF(DRE!$C$3="ANEXO V - SERVIÇOS",IF(DRE!$C$5="4ª FAIXA",DRE!$C$4,0),0)</f>
        <v>0</v>
      </c>
      <c r="G37" s="14" t="e">
        <f t="shared" si="43"/>
        <v>#DIV/0!</v>
      </c>
      <c r="I37" s="14">
        <v>0.21</v>
      </c>
      <c r="J37" s="14">
        <v>0.15</v>
      </c>
      <c r="K37" s="14">
        <v>0.23849999999999999</v>
      </c>
      <c r="L37" s="14">
        <v>0.15740000000000001</v>
      </c>
      <c r="M37" s="14">
        <v>3.4099999999999998E-2</v>
      </c>
      <c r="N37" s="14">
        <v>0</v>
      </c>
      <c r="O37" s="14">
        <v>0.21</v>
      </c>
      <c r="P37" s="14">
        <v>0</v>
      </c>
      <c r="Q37" s="13">
        <f t="shared" si="44"/>
        <v>1</v>
      </c>
      <c r="S37" s="14">
        <f t="shared" si="45"/>
        <v>0.21</v>
      </c>
      <c r="T37" s="14" t="e">
        <f t="shared" si="46"/>
        <v>#DIV/0!</v>
      </c>
      <c r="U37" s="14">
        <f t="shared" si="47"/>
        <v>0.1915</v>
      </c>
      <c r="V37" s="14" t="e">
        <f t="shared" si="48"/>
        <v>#DIV/0!</v>
      </c>
      <c r="W37" s="14">
        <f t="shared" si="49"/>
        <v>0.59850000000000003</v>
      </c>
      <c r="X37" s="14" t="e">
        <f t="shared" si="50"/>
        <v>#DIV/0!</v>
      </c>
    </row>
    <row r="38" spans="1:24" x14ac:dyDescent="0.25">
      <c r="A38" t="s">
        <v>23</v>
      </c>
      <c r="B38" s="31">
        <f t="shared" si="51"/>
        <v>1800000.01</v>
      </c>
      <c r="C38" s="31">
        <f t="shared" ref="C38" si="53">C37*2</f>
        <v>3600000</v>
      </c>
      <c r="D38" s="13">
        <v>0.23</v>
      </c>
      <c r="E38" s="31">
        <v>62100</v>
      </c>
      <c r="F38" s="33">
        <f>IF(DRE!$C$3="ANEXO V - SERVIÇOS",IF(DRE!$C$5="5ª FAIXA",DRE!$C$4,0),0)</f>
        <v>0</v>
      </c>
      <c r="G38" s="14" t="e">
        <f t="shared" si="43"/>
        <v>#DIV/0!</v>
      </c>
      <c r="I38" s="14">
        <v>0.23</v>
      </c>
      <c r="J38" s="14">
        <v>0.125</v>
      </c>
      <c r="K38" s="14">
        <v>0.23849999999999999</v>
      </c>
      <c r="L38" s="14">
        <v>0.14099999999999999</v>
      </c>
      <c r="M38" s="14">
        <v>3.0499999999999999E-2</v>
      </c>
      <c r="N38" s="14">
        <v>0</v>
      </c>
      <c r="O38" s="14">
        <v>0.23499999999999999</v>
      </c>
      <c r="P38" s="14">
        <v>0</v>
      </c>
      <c r="Q38" s="13">
        <f t="shared" si="44"/>
        <v>0.99999999999999989</v>
      </c>
      <c r="S38" s="14">
        <f t="shared" si="45"/>
        <v>0.23499999999999999</v>
      </c>
      <c r="T38" s="14" t="e">
        <f t="shared" si="46"/>
        <v>#DIV/0!</v>
      </c>
      <c r="U38" s="14">
        <f t="shared" si="47"/>
        <v>0.17149999999999999</v>
      </c>
      <c r="V38" s="14" t="e">
        <f t="shared" si="48"/>
        <v>#DIV/0!</v>
      </c>
      <c r="W38" s="14">
        <f t="shared" si="49"/>
        <v>0.59349999999999992</v>
      </c>
      <c r="X38" s="14" t="e">
        <f t="shared" si="50"/>
        <v>#DIV/0!</v>
      </c>
    </row>
    <row r="39" spans="1:24" x14ac:dyDescent="0.25">
      <c r="A39" t="s">
        <v>24</v>
      </c>
      <c r="B39" s="31">
        <f t="shared" si="51"/>
        <v>3600000.01</v>
      </c>
      <c r="C39" s="31">
        <v>4800000</v>
      </c>
      <c r="D39" s="13">
        <v>0.30499999999999999</v>
      </c>
      <c r="E39" s="31">
        <v>540000</v>
      </c>
      <c r="F39" s="33">
        <f>IF(DRE!$C$3="ANEXO V - SERVIÇOS",IF(DRE!$C$5="6ª FAIXA",DRE!$C$4,0),0)</f>
        <v>0</v>
      </c>
      <c r="G39" s="14" t="e">
        <f t="shared" si="43"/>
        <v>#DIV/0!</v>
      </c>
      <c r="I39" s="14">
        <v>0.35</v>
      </c>
      <c r="J39" s="14">
        <v>0.155</v>
      </c>
      <c r="K39" s="14">
        <v>0.29499999999999998</v>
      </c>
      <c r="L39" s="14">
        <v>0.16439999999999999</v>
      </c>
      <c r="M39" s="14">
        <v>3.56E-2</v>
      </c>
      <c r="N39" s="14">
        <v>0</v>
      </c>
      <c r="O39" s="14">
        <v>0</v>
      </c>
      <c r="P39" s="14">
        <v>0</v>
      </c>
      <c r="Q39" s="13">
        <f t="shared" si="44"/>
        <v>1</v>
      </c>
      <c r="S39" s="14">
        <f t="shared" si="45"/>
        <v>0</v>
      </c>
      <c r="T39" s="14" t="e">
        <f t="shared" si="46"/>
        <v>#DIV/0!</v>
      </c>
      <c r="U39" s="14">
        <f t="shared" si="47"/>
        <v>0.19999999999999998</v>
      </c>
      <c r="V39" s="14" t="e">
        <f t="shared" si="48"/>
        <v>#DIV/0!</v>
      </c>
      <c r="W39" s="14">
        <f t="shared" si="49"/>
        <v>0.8</v>
      </c>
      <c r="X39" s="14" t="e">
        <f t="shared" si="50"/>
        <v>#DIV/0!</v>
      </c>
    </row>
  </sheetData>
  <mergeCells count="3">
    <mergeCell ref="S1:T1"/>
    <mergeCell ref="U1:V1"/>
    <mergeCell ref="W1:X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DRE</vt:lpstr>
      <vt:lpstr>CORES</vt:lpstr>
      <vt:lpstr>ANEXOS SN DRE</vt:lpstr>
      <vt:lpstr>DRE!Area_de_impressao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Mazetto</dc:creator>
  <cp:lastModifiedBy>Nathaniel Mazetto</cp:lastModifiedBy>
  <dcterms:created xsi:type="dcterms:W3CDTF">2026-04-08T12:17:34Z</dcterms:created>
  <dcterms:modified xsi:type="dcterms:W3CDTF">2026-07-29T19:21:30Z</dcterms:modified>
</cp:coreProperties>
</file>